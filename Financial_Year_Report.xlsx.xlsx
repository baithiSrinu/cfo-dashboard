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124226"/>
  <xr:revisionPtr revIDLastSave="0" documentId="13_ncr:1_{00D2512D-C4AC-42E9-AE38-F2F931B28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 Raised" sheetId="1" r:id="rId1"/>
    <sheet name="Payment Received" sheetId="2" r:id="rId2"/>
    <sheet name="Exemption Certificate Utilisati" sheetId="20" r:id="rId3"/>
    <sheet name="Cancelled Invoice" sheetId="22" r:id="rId4"/>
    <sheet name="Luminous" sheetId="23" r:id="rId5"/>
  </sheets>
  <definedNames>
    <definedName name="_xlnm._FilterDatabase" localSheetId="3" hidden="1">'Cancelled Invoice'!$A$1:$W$4</definedName>
    <definedName name="_xlnm._FilterDatabase" localSheetId="0" hidden="1">'Invoice Raised'!$A$1:$AI$369</definedName>
    <definedName name="_xlnm._FilterDatabase" localSheetId="1" hidden="1">'Payment Received'!$A$1:$V$1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62" i="1" l="1"/>
  <c r="AF261" i="1"/>
  <c r="AF260" i="1"/>
  <c r="AF259" i="1"/>
  <c r="AF243" i="1"/>
  <c r="AF242" i="1"/>
  <c r="AF241" i="1"/>
  <c r="Q371" i="1"/>
  <c r="Q346" i="1"/>
  <c r="O245" i="1" l="1"/>
  <c r="O244" i="1"/>
  <c r="P244" i="1" s="1"/>
  <c r="O319" i="1"/>
  <c r="P319" i="1" s="1"/>
  <c r="O298" i="1"/>
  <c r="P298" i="1" s="1"/>
  <c r="O353" i="1" l="1"/>
  <c r="O352" i="1"/>
  <c r="Q320" i="1" l="1"/>
  <c r="AE312" i="1"/>
  <c r="AE311" i="1"/>
  <c r="AE310" i="1"/>
  <c r="AE309" i="1"/>
  <c r="AE285" i="1"/>
  <c r="AE284" i="1"/>
  <c r="AE283" i="1"/>
  <c r="AE282" i="1"/>
  <c r="AE275" i="1"/>
  <c r="AE274" i="1"/>
  <c r="AE262" i="1"/>
  <c r="AE261" i="1"/>
  <c r="AE260" i="1"/>
  <c r="AE259" i="1"/>
  <c r="AA241" i="1"/>
  <c r="AB113" i="1"/>
  <c r="Q322" i="1" l="1"/>
  <c r="AE5" i="1"/>
  <c r="AE21" i="1"/>
  <c r="AE40" i="1"/>
  <c r="AE52" i="1"/>
  <c r="AE75" i="1"/>
  <c r="AE80" i="1"/>
  <c r="AE119" i="1"/>
  <c r="AE129" i="1"/>
  <c r="AE150" i="1"/>
  <c r="Q327" i="1"/>
  <c r="O351" i="1" l="1"/>
  <c r="O350" i="1"/>
  <c r="O349" i="1"/>
  <c r="P346" i="1" l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1" i="1"/>
  <c r="AE330" i="1"/>
  <c r="AE329" i="1"/>
  <c r="AE328" i="1"/>
  <c r="AE327" i="1"/>
  <c r="AE326" i="1"/>
  <c r="AE325" i="1"/>
  <c r="AE324" i="1"/>
  <c r="AD323" i="1"/>
  <c r="AE323" i="1" s="1"/>
  <c r="AE322" i="1"/>
  <c r="AE321" i="1"/>
  <c r="AE320" i="1"/>
  <c r="AE319" i="1"/>
  <c r="AF318" i="1"/>
  <c r="AG318" i="1" s="1"/>
  <c r="AE315" i="1"/>
  <c r="AE314" i="1"/>
  <c r="AE313" i="1"/>
  <c r="AE308" i="1"/>
  <c r="AE307" i="1"/>
  <c r="AE306" i="1"/>
  <c r="AE305" i="1"/>
  <c r="AE304" i="1"/>
  <c r="AE303" i="1"/>
  <c r="AE302" i="1"/>
  <c r="AE301" i="1"/>
  <c r="AE300" i="1"/>
  <c r="AF299" i="1"/>
  <c r="AG299" i="1" s="1"/>
  <c r="AE298" i="1"/>
  <c r="AE296" i="1"/>
  <c r="AE295" i="1"/>
  <c r="AE294" i="1"/>
  <c r="AE293" i="1"/>
  <c r="AE292" i="1"/>
  <c r="AD290" i="1"/>
  <c r="AE290" i="1" s="1"/>
  <c r="AE289" i="1"/>
  <c r="AE288" i="1"/>
  <c r="AE287" i="1"/>
  <c r="AE286" i="1"/>
  <c r="AE281" i="1"/>
  <c r="AE280" i="1"/>
  <c r="AE279" i="1"/>
  <c r="AE278" i="1"/>
  <c r="AE277" i="1"/>
  <c r="Z276" i="1"/>
  <c r="AE276" i="1" s="1"/>
  <c r="AE273" i="1"/>
  <c r="AE272" i="1"/>
  <c r="AE271" i="1"/>
  <c r="AF269" i="1"/>
  <c r="AG269" i="1" s="1"/>
  <c r="AE267" i="1"/>
  <c r="AE266" i="1"/>
  <c r="AE265" i="1"/>
  <c r="AE264" i="1"/>
  <c r="AE263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C218" i="1"/>
  <c r="AB218" i="1"/>
  <c r="AA218" i="1"/>
  <c r="Z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Z199" i="1"/>
  <c r="AE194" i="1"/>
  <c r="Z193" i="1"/>
  <c r="AE193" i="1" s="1"/>
  <c r="AC192" i="1"/>
  <c r="AB192" i="1"/>
  <c r="AA192" i="1"/>
  <c r="Z192" i="1"/>
  <c r="AE192" i="1" s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F150" i="1"/>
  <c r="AG150" i="1" s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F129" i="1"/>
  <c r="AG129" i="1" s="1"/>
  <c r="AE128" i="1"/>
  <c r="AE127" i="1"/>
  <c r="AE126" i="1"/>
  <c r="AE125" i="1"/>
  <c r="AE124" i="1"/>
  <c r="AE123" i="1"/>
  <c r="AE122" i="1"/>
  <c r="AE121" i="1"/>
  <c r="AE120" i="1"/>
  <c r="AF119" i="1"/>
  <c r="AG119" i="1" s="1"/>
  <c r="AE118" i="1"/>
  <c r="Z117" i="1"/>
  <c r="AE117" i="1" s="1"/>
  <c r="Z116" i="1"/>
  <c r="AE116" i="1" s="1"/>
  <c r="Z115" i="1"/>
  <c r="AE115" i="1" s="1"/>
  <c r="AE114" i="1"/>
  <c r="AE113" i="1"/>
  <c r="AE112" i="1"/>
  <c r="AE111" i="1"/>
  <c r="AE110" i="1"/>
  <c r="AE109" i="1"/>
  <c r="AE108" i="1"/>
  <c r="AE107" i="1"/>
  <c r="AD106" i="1"/>
  <c r="AE106" i="1" s="1"/>
  <c r="AD105" i="1"/>
  <c r="AE105" i="1" s="1"/>
  <c r="AE104" i="1"/>
  <c r="Z103" i="1"/>
  <c r="AE103" i="1" s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F80" i="1"/>
  <c r="AG80" i="1" s="1"/>
  <c r="AE79" i="1"/>
  <c r="Z79" i="1"/>
  <c r="AE78" i="1"/>
  <c r="AE77" i="1"/>
  <c r="AE76" i="1"/>
  <c r="AF75" i="1"/>
  <c r="AG75" i="1" s="1"/>
  <c r="AE74" i="1"/>
  <c r="AE73" i="1"/>
  <c r="AE72" i="1"/>
  <c r="AE71" i="1"/>
  <c r="AE70" i="1"/>
  <c r="AE69" i="1"/>
  <c r="AG68" i="1"/>
  <c r="AE68" i="1"/>
  <c r="AE67" i="1"/>
  <c r="AE66" i="1"/>
  <c r="AE65" i="1"/>
  <c r="AE64" i="1"/>
  <c r="AE63" i="1"/>
  <c r="AD63" i="1"/>
  <c r="AE62" i="1"/>
  <c r="AE61" i="1"/>
  <c r="AE60" i="1"/>
  <c r="AE59" i="1"/>
  <c r="AE58" i="1"/>
  <c r="AE57" i="1"/>
  <c r="AE56" i="1"/>
  <c r="AE55" i="1"/>
  <c r="AE54" i="1"/>
  <c r="AE53" i="1"/>
  <c r="AF52" i="1"/>
  <c r="AE51" i="1"/>
  <c r="AE50" i="1"/>
  <c r="AE49" i="1"/>
  <c r="AE48" i="1"/>
  <c r="AE47" i="1"/>
  <c r="AD46" i="1"/>
  <c r="AE46" i="1" s="1"/>
  <c r="AD45" i="1"/>
  <c r="AE45" i="1" s="1"/>
  <c r="AE44" i="1"/>
  <c r="AE43" i="1"/>
  <c r="AE42" i="1"/>
  <c r="AE41" i="1"/>
  <c r="AF40" i="1"/>
  <c r="AG40" i="1" s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D22" i="1"/>
  <c r="AE22" i="1" s="1"/>
  <c r="AF21" i="1"/>
  <c r="AG21" i="1" s="1"/>
  <c r="AE20" i="1"/>
  <c r="AE19" i="1"/>
  <c r="Z19" i="1"/>
  <c r="AE18" i="1"/>
  <c r="Z18" i="1"/>
  <c r="AE17" i="1"/>
  <c r="Z17" i="1"/>
  <c r="AE16" i="1"/>
  <c r="AE15" i="1"/>
  <c r="AE14" i="1"/>
  <c r="AE13" i="1"/>
  <c r="AE12" i="1"/>
  <c r="AE11" i="1"/>
  <c r="AE10" i="1"/>
  <c r="AE9" i="1"/>
  <c r="AE8" i="1"/>
  <c r="AE7" i="1"/>
  <c r="AE6" i="1"/>
  <c r="AE4" i="1"/>
  <c r="AE3" i="1"/>
  <c r="AE2" i="1"/>
  <c r="AE218" i="1" l="1"/>
  <c r="AF38" i="1"/>
  <c r="AG38" i="1" s="1"/>
  <c r="AF113" i="1"/>
  <c r="AG113" i="1" s="1"/>
  <c r="AF208" i="1"/>
  <c r="AG208" i="1" s="1"/>
  <c r="AF320" i="1"/>
  <c r="AG320" i="1" s="1"/>
  <c r="AF54" i="1"/>
  <c r="AG54" i="1" s="1"/>
  <c r="AF178" i="1"/>
  <c r="AG178" i="1" s="1"/>
  <c r="AF278" i="1"/>
  <c r="AF100" i="1"/>
  <c r="AG100" i="1" s="1"/>
  <c r="AF210" i="1"/>
  <c r="AF342" i="1"/>
  <c r="AF12" i="1"/>
  <c r="AG12" i="1" s="1"/>
  <c r="AF70" i="1"/>
  <c r="AG70" i="1" s="1"/>
  <c r="AF101" i="1"/>
  <c r="AG101" i="1" s="1"/>
  <c r="AF192" i="1"/>
  <c r="AG192" i="1" s="1"/>
  <c r="AF301" i="1"/>
  <c r="AG301" i="1" s="1"/>
  <c r="AF13" i="1"/>
  <c r="AG13" i="1" s="1"/>
  <c r="AF71" i="1"/>
  <c r="AG71" i="1" s="1"/>
  <c r="AF133" i="1"/>
  <c r="AG133" i="1" s="1"/>
  <c r="AF302" i="1"/>
  <c r="AF27" i="1"/>
  <c r="AG27" i="1" s="1"/>
  <c r="AF194" i="1"/>
  <c r="AG194" i="1" s="1"/>
  <c r="AF345" i="1"/>
  <c r="AF15" i="1"/>
  <c r="AG15" i="1" s="1"/>
  <c r="AF44" i="1"/>
  <c r="AG44" i="1" s="1"/>
  <c r="AF59" i="1"/>
  <c r="AG59" i="1" s="1"/>
  <c r="AF135" i="1"/>
  <c r="AG135" i="1" s="1"/>
  <c r="AF183" i="1"/>
  <c r="AG183" i="1" s="1"/>
  <c r="AF214" i="1"/>
  <c r="AG214" i="1" s="1"/>
  <c r="AF263" i="1"/>
  <c r="AG263" i="1" s="1"/>
  <c r="AF89" i="1"/>
  <c r="AG89" i="1" s="1"/>
  <c r="AF136" i="1"/>
  <c r="AG136" i="1" s="1"/>
  <c r="AF184" i="1"/>
  <c r="AG184" i="1" s="1"/>
  <c r="AF228" i="1"/>
  <c r="AF244" i="1"/>
  <c r="AF264" i="1"/>
  <c r="AF288" i="1"/>
  <c r="AF327" i="1"/>
  <c r="AF347" i="1"/>
  <c r="AF30" i="1"/>
  <c r="AF45" i="1"/>
  <c r="AG45" i="1" s="1"/>
  <c r="AF61" i="1"/>
  <c r="AG61" i="1" s="1"/>
  <c r="AF90" i="1"/>
  <c r="AG90" i="1" s="1"/>
  <c r="AF121" i="1"/>
  <c r="AG121" i="1" s="1"/>
  <c r="AF137" i="1"/>
  <c r="AG137" i="1" s="1"/>
  <c r="AF153" i="1"/>
  <c r="AG153" i="1" s="1"/>
  <c r="AF185" i="1"/>
  <c r="AF200" i="1"/>
  <c r="AG200" i="1" s="1"/>
  <c r="AF229" i="1"/>
  <c r="AF245" i="1"/>
  <c r="AF265" i="1"/>
  <c r="AF289" i="1"/>
  <c r="AF328" i="1"/>
  <c r="AF348" i="1"/>
  <c r="AF53" i="1"/>
  <c r="AG53" i="1" s="1"/>
  <c r="AF145" i="1"/>
  <c r="AG145" i="1" s="1"/>
  <c r="AF298" i="1"/>
  <c r="AF39" i="1"/>
  <c r="AG39" i="1" s="1"/>
  <c r="AF99" i="1"/>
  <c r="AG99" i="1" s="1"/>
  <c r="AF146" i="1"/>
  <c r="AG146" i="1" s="1"/>
  <c r="AF11" i="1"/>
  <c r="AG11" i="1" s="1"/>
  <c r="AF161" i="1"/>
  <c r="AG161" i="1" s="1"/>
  <c r="AF277" i="1"/>
  <c r="AG277" i="1" s="1"/>
  <c r="AF23" i="1"/>
  <c r="AG23" i="1" s="1"/>
  <c r="AF114" i="1"/>
  <c r="AG114" i="1" s="1"/>
  <c r="AF209" i="1"/>
  <c r="AG209" i="1" s="1"/>
  <c r="AF341" i="1"/>
  <c r="AG341" i="1" s="1"/>
  <c r="AF69" i="1"/>
  <c r="AG69" i="1" s="1"/>
  <c r="AF147" i="1"/>
  <c r="AG147" i="1" s="1"/>
  <c r="AF223" i="1"/>
  <c r="AG223" i="1" s="1"/>
  <c r="AF322" i="1"/>
  <c r="AF41" i="1"/>
  <c r="AG41" i="1" s="1"/>
  <c r="AF116" i="1"/>
  <c r="AG116" i="1" s="1"/>
  <c r="AF180" i="1"/>
  <c r="AG180" i="1" s="1"/>
  <c r="AF240" i="1"/>
  <c r="AG240" i="1" s="1"/>
  <c r="AF26" i="1"/>
  <c r="AG26" i="1" s="1"/>
  <c r="AF117" i="1"/>
  <c r="AG117" i="1" s="1"/>
  <c r="AF193" i="1"/>
  <c r="AG193" i="1" s="1"/>
  <c r="AF14" i="1"/>
  <c r="AG14" i="1" s="1"/>
  <c r="AF72" i="1"/>
  <c r="AG72" i="1" s="1"/>
  <c r="AF134" i="1"/>
  <c r="AG134" i="1" s="1"/>
  <c r="AF182" i="1"/>
  <c r="AG182" i="1" s="1"/>
  <c r="AF325" i="1"/>
  <c r="AF287" i="1"/>
  <c r="AF16" i="1"/>
  <c r="AG16" i="1" s="1"/>
  <c r="AF105" i="1"/>
  <c r="AG105" i="1" s="1"/>
  <c r="AF46" i="1"/>
  <c r="AG46" i="1" s="1"/>
  <c r="AF91" i="1"/>
  <c r="AG91" i="1" s="1"/>
  <c r="AF138" i="1"/>
  <c r="AG138" i="1" s="1"/>
  <c r="AF201" i="1"/>
  <c r="AG201" i="1" s="1"/>
  <c r="AF349" i="1"/>
  <c r="AF47" i="1"/>
  <c r="AF92" i="1"/>
  <c r="AG92" i="1" s="1"/>
  <c r="AF171" i="1"/>
  <c r="AG171" i="1" s="1"/>
  <c r="AF267" i="1"/>
  <c r="AF350" i="1"/>
  <c r="AF48" i="1"/>
  <c r="AF108" i="1"/>
  <c r="AG108" i="1" s="1"/>
  <c r="AF156" i="1"/>
  <c r="AG156" i="1" s="1"/>
  <c r="AF232" i="1"/>
  <c r="AG232" i="1" s="1"/>
  <c r="AF292" i="1"/>
  <c r="AF313" i="1"/>
  <c r="AF351" i="1"/>
  <c r="AF49" i="1"/>
  <c r="AG49" i="1" s="1"/>
  <c r="AF64" i="1"/>
  <c r="AG64" i="1" s="1"/>
  <c r="AF94" i="1"/>
  <c r="AG94" i="1" s="1"/>
  <c r="AF109" i="1"/>
  <c r="AG109" i="1" s="1"/>
  <c r="AF125" i="1"/>
  <c r="AG125" i="1" s="1"/>
  <c r="AF157" i="1"/>
  <c r="AG157" i="1" s="1"/>
  <c r="AF173" i="1"/>
  <c r="AG173" i="1" s="1"/>
  <c r="AF189" i="1"/>
  <c r="AG189" i="1" s="1"/>
  <c r="AF293" i="1"/>
  <c r="AF314" i="1"/>
  <c r="AF336" i="1"/>
  <c r="AF352" i="1"/>
  <c r="AF22" i="1"/>
  <c r="AG22" i="1" s="1"/>
  <c r="AF82" i="1"/>
  <c r="AG82" i="1" s="1"/>
  <c r="AF177" i="1"/>
  <c r="AG177" i="1" s="1"/>
  <c r="AF253" i="1"/>
  <c r="AG253" i="1" s="1"/>
  <c r="AF24" i="1"/>
  <c r="AG24" i="1" s="1"/>
  <c r="AF84" i="1"/>
  <c r="AG84" i="1" s="1"/>
  <c r="AF279" i="1"/>
  <c r="AF56" i="1"/>
  <c r="AG56" i="1" s="1"/>
  <c r="AF132" i="1"/>
  <c r="AG132" i="1" s="1"/>
  <c r="AF211" i="1"/>
  <c r="AF323" i="1"/>
  <c r="AF42" i="1"/>
  <c r="AG42" i="1" s="1"/>
  <c r="AF102" i="1"/>
  <c r="AG102" i="1" s="1"/>
  <c r="AF212" i="1"/>
  <c r="AG212" i="1" s="1"/>
  <c r="AF324" i="1"/>
  <c r="AG324" i="1" s="1"/>
  <c r="AF43" i="1"/>
  <c r="AG43" i="1" s="1"/>
  <c r="AF103" i="1"/>
  <c r="AG103" i="1" s="1"/>
  <c r="AF166" i="1"/>
  <c r="AG166" i="1" s="1"/>
  <c r="AF226" i="1"/>
  <c r="AG226" i="1" s="1"/>
  <c r="AF286" i="1"/>
  <c r="AG286" i="1" s="1"/>
  <c r="AF28" i="1"/>
  <c r="AG28" i="1" s="1"/>
  <c r="AF88" i="1"/>
  <c r="AG88" i="1" s="1"/>
  <c r="AF167" i="1"/>
  <c r="AG167" i="1" s="1"/>
  <c r="AF346" i="1"/>
  <c r="AG346" i="1" s="1"/>
  <c r="AF120" i="1"/>
  <c r="AG120" i="1" s="1"/>
  <c r="AF17" i="1"/>
  <c r="AF62" i="1"/>
  <c r="AG62" i="1" s="1"/>
  <c r="AF122" i="1"/>
  <c r="AG122" i="1" s="1"/>
  <c r="AF230" i="1"/>
  <c r="AG230" i="1" s="1"/>
  <c r="AF329" i="1"/>
  <c r="AF123" i="1"/>
  <c r="AG123" i="1" s="1"/>
  <c r="AF155" i="1"/>
  <c r="AG155" i="1" s="1"/>
  <c r="AF202" i="1"/>
  <c r="AG202" i="1" s="1"/>
  <c r="AF218" i="1"/>
  <c r="AG218" i="1" s="1"/>
  <c r="AF247" i="1"/>
  <c r="AG247" i="1" s="1"/>
  <c r="AF33" i="1"/>
  <c r="AF93" i="1"/>
  <c r="AG93" i="1" s="1"/>
  <c r="AF140" i="1"/>
  <c r="AG140" i="1" s="1"/>
  <c r="AF172" i="1"/>
  <c r="AG172" i="1" s="1"/>
  <c r="AF188" i="1"/>
  <c r="AG188" i="1" s="1"/>
  <c r="AF6" i="1"/>
  <c r="AG6" i="1" s="1"/>
  <c r="AF19" i="1"/>
  <c r="AF35" i="1"/>
  <c r="AG35" i="1" s="1"/>
  <c r="AF65" i="1"/>
  <c r="AG65" i="1" s="1"/>
  <c r="AF95" i="1"/>
  <c r="AG95" i="1" s="1"/>
  <c r="AF110" i="1"/>
  <c r="AG110" i="1" s="1"/>
  <c r="AF126" i="1"/>
  <c r="AG126" i="1" s="1"/>
  <c r="AF142" i="1"/>
  <c r="AG142" i="1" s="1"/>
  <c r="AF158" i="1"/>
  <c r="AG158" i="1" s="1"/>
  <c r="AF174" i="1"/>
  <c r="AG174" i="1" s="1"/>
  <c r="AF250" i="1"/>
  <c r="AF272" i="1"/>
  <c r="AF294" i="1"/>
  <c r="AF315" i="1"/>
  <c r="AF337" i="1"/>
  <c r="AG337" i="1" s="1"/>
  <c r="AF353" i="1"/>
  <c r="AF10" i="1"/>
  <c r="AF130" i="1"/>
  <c r="AG130" i="1" s="1"/>
  <c r="AF254" i="1"/>
  <c r="AG254" i="1" s="1"/>
  <c r="AF131" i="1"/>
  <c r="AG131" i="1" s="1"/>
  <c r="AF255" i="1"/>
  <c r="AG255" i="1" s="1"/>
  <c r="AF25" i="1"/>
  <c r="AG25" i="1" s="1"/>
  <c r="AF148" i="1"/>
  <c r="AG148" i="1" s="1"/>
  <c r="AF256" i="1"/>
  <c r="AF86" i="1"/>
  <c r="AG86" i="1" s="1"/>
  <c r="AF181" i="1"/>
  <c r="AG181" i="1" s="1"/>
  <c r="AF87" i="1"/>
  <c r="AG87" i="1" s="1"/>
  <c r="AF213" i="1"/>
  <c r="AG213" i="1" s="1"/>
  <c r="AF304" i="1"/>
  <c r="AF60" i="1"/>
  <c r="AG60" i="1" s="1"/>
  <c r="AF76" i="1"/>
  <c r="AG76" i="1" s="1"/>
  <c r="AF3" i="1"/>
  <c r="AF139" i="1"/>
  <c r="AG139" i="1" s="1"/>
  <c r="AF290" i="1"/>
  <c r="AF18" i="1"/>
  <c r="AF78" i="1"/>
  <c r="AG78" i="1" s="1"/>
  <c r="AF36" i="1"/>
  <c r="AG36" i="1" s="1"/>
  <c r="AF111" i="1"/>
  <c r="AG111" i="1" s="1"/>
  <c r="AF175" i="1"/>
  <c r="AG175" i="1" s="1"/>
  <c r="AF191" i="1"/>
  <c r="AF219" i="1"/>
  <c r="AG219" i="1" s="1"/>
  <c r="AF251" i="1"/>
  <c r="AG251" i="1" s="1"/>
  <c r="AF273" i="1"/>
  <c r="AF295" i="1"/>
  <c r="AF338" i="1"/>
  <c r="AF340" i="1"/>
  <c r="AF83" i="1"/>
  <c r="AG83" i="1" s="1"/>
  <c r="AF162" i="1"/>
  <c r="AG162" i="1" s="1"/>
  <c r="AF222" i="1"/>
  <c r="AG222" i="1" s="1"/>
  <c r="AF321" i="1"/>
  <c r="AF55" i="1"/>
  <c r="AG55" i="1" s="1"/>
  <c r="AF115" i="1"/>
  <c r="AG115" i="1" s="1"/>
  <c r="AF163" i="1"/>
  <c r="AG163" i="1" s="1"/>
  <c r="AF300" i="1"/>
  <c r="AF85" i="1"/>
  <c r="AG85" i="1" s="1"/>
  <c r="AF164" i="1"/>
  <c r="AG164" i="1" s="1"/>
  <c r="AF343" i="1"/>
  <c r="AF57" i="1"/>
  <c r="AG57" i="1" s="1"/>
  <c r="AF149" i="1"/>
  <c r="AG149" i="1" s="1"/>
  <c r="AF344" i="1"/>
  <c r="AF58" i="1"/>
  <c r="AG58" i="1" s="1"/>
  <c r="AF118" i="1"/>
  <c r="AG118" i="1" s="1"/>
  <c r="AF303" i="1"/>
  <c r="AF227" i="1"/>
  <c r="AG227" i="1" s="1"/>
  <c r="AF326" i="1"/>
  <c r="AF74" i="1"/>
  <c r="AG74" i="1" s="1"/>
  <c r="AF31" i="1"/>
  <c r="AF106" i="1"/>
  <c r="AG106" i="1" s="1"/>
  <c r="AF154" i="1"/>
  <c r="AG154" i="1" s="1"/>
  <c r="AF217" i="1"/>
  <c r="AG217" i="1" s="1"/>
  <c r="AF266" i="1"/>
  <c r="AF307" i="1"/>
  <c r="AF32" i="1"/>
  <c r="AF107" i="1"/>
  <c r="AG107" i="1" s="1"/>
  <c r="AF231" i="1"/>
  <c r="AG231" i="1" s="1"/>
  <c r="AF308" i="1"/>
  <c r="AG308" i="1" s="1"/>
  <c r="AF63" i="1"/>
  <c r="AG63" i="1" s="1"/>
  <c r="AF124" i="1"/>
  <c r="AG124" i="1" s="1"/>
  <c r="AF248" i="1"/>
  <c r="AF7" i="1"/>
  <c r="AF20" i="1"/>
  <c r="AG20" i="1" s="1"/>
  <c r="AF66" i="1"/>
  <c r="AG66" i="1" s="1"/>
  <c r="AF96" i="1"/>
  <c r="AG96" i="1" s="1"/>
  <c r="AF127" i="1"/>
  <c r="AG127" i="1" s="1"/>
  <c r="AF159" i="1"/>
  <c r="AG159" i="1" s="1"/>
  <c r="AF37" i="1"/>
  <c r="AG37" i="1" s="1"/>
  <c r="AF67" i="1"/>
  <c r="AG67" i="1" s="1"/>
  <c r="AF81" i="1"/>
  <c r="AG81" i="1" s="1"/>
  <c r="AF112" i="1"/>
  <c r="AG112" i="1" s="1"/>
  <c r="AF128" i="1"/>
  <c r="AG128" i="1" s="1"/>
  <c r="AF144" i="1"/>
  <c r="AG144" i="1" s="1"/>
  <c r="AF160" i="1"/>
  <c r="AG160" i="1" s="1"/>
  <c r="AF176" i="1"/>
  <c r="AG176" i="1" s="1"/>
  <c r="AF207" i="1"/>
  <c r="AG207" i="1" s="1"/>
  <c r="AF220" i="1"/>
  <c r="AG220" i="1" s="1"/>
  <c r="AF252" i="1"/>
  <c r="AG252" i="1" s="1"/>
  <c r="AF276" i="1"/>
  <c r="AF296" i="1"/>
  <c r="AF319" i="1"/>
  <c r="AF339" i="1"/>
  <c r="Q265" i="1"/>
  <c r="Q266" i="1"/>
  <c r="Q292" i="1"/>
  <c r="Q293" i="1"/>
  <c r="Q321" i="1"/>
  <c r="Q345" i="1"/>
  <c r="Q347" i="1"/>
  <c r="G390" i="1"/>
  <c r="Q332" i="1"/>
  <c r="P353" i="1"/>
  <c r="P352" i="1"/>
  <c r="P351" i="1"/>
  <c r="P350" i="1"/>
  <c r="P349" i="1"/>
  <c r="P329" i="1"/>
  <c r="P328" i="1"/>
  <c r="P327" i="1"/>
  <c r="O347" i="1"/>
  <c r="P347" i="1" s="1"/>
  <c r="N373" i="1"/>
  <c r="M325" i="2"/>
  <c r="L325" i="2"/>
  <c r="K325" i="2"/>
  <c r="N325" i="2" s="1"/>
  <c r="O325" i="2" s="1"/>
  <c r="P325" i="2" s="1"/>
  <c r="O296" i="1"/>
  <c r="O295" i="1"/>
  <c r="O294" i="1"/>
  <c r="O272" i="1"/>
  <c r="O267" i="1"/>
  <c r="P267" i="1" s="1"/>
  <c r="Q315" i="1"/>
  <c r="K353" i="1"/>
  <c r="L353" i="1"/>
  <c r="M353" i="1"/>
  <c r="K352" i="1"/>
  <c r="L352" i="1"/>
  <c r="M352" i="1"/>
  <c r="M351" i="1"/>
  <c r="L351" i="1"/>
  <c r="K351" i="1"/>
  <c r="M350" i="1"/>
  <c r="L350" i="1"/>
  <c r="K350" i="1"/>
  <c r="K349" i="1"/>
  <c r="L349" i="1"/>
  <c r="M349" i="1"/>
  <c r="K348" i="1"/>
  <c r="L348" i="1"/>
  <c r="M348" i="1"/>
  <c r="K347" i="1"/>
  <c r="L347" i="1"/>
  <c r="M347" i="1"/>
  <c r="M346" i="1"/>
  <c r="L346" i="1"/>
  <c r="K346" i="1"/>
  <c r="J368" i="1"/>
  <c r="I369" i="1" s="1"/>
  <c r="O318" i="1"/>
  <c r="P318" i="1" s="1"/>
  <c r="O317" i="1"/>
  <c r="P317" i="1" s="1"/>
  <c r="M345" i="1"/>
  <c r="L345" i="1"/>
  <c r="K345" i="1"/>
  <c r="M344" i="1"/>
  <c r="L344" i="1"/>
  <c r="K344" i="1"/>
  <c r="P343" i="1"/>
  <c r="K343" i="1"/>
  <c r="L343" i="1"/>
  <c r="L342" i="1"/>
  <c r="K342" i="1"/>
  <c r="M341" i="1"/>
  <c r="L341" i="1"/>
  <c r="K341" i="1"/>
  <c r="O335" i="1"/>
  <c r="P335" i="1" s="1"/>
  <c r="F365" i="1"/>
  <c r="F364" i="1"/>
  <c r="F366" i="1" s="1"/>
  <c r="P340" i="1"/>
  <c r="M340" i="1"/>
  <c r="L340" i="1"/>
  <c r="K340" i="1"/>
  <c r="P339" i="1"/>
  <c r="M339" i="1"/>
  <c r="L339" i="1"/>
  <c r="K339" i="1"/>
  <c r="P338" i="1"/>
  <c r="M338" i="1"/>
  <c r="L338" i="1"/>
  <c r="K338" i="1"/>
  <c r="P337" i="1"/>
  <c r="M337" i="1"/>
  <c r="L337" i="1"/>
  <c r="K337" i="1"/>
  <c r="P336" i="1"/>
  <c r="M336" i="1"/>
  <c r="L336" i="1"/>
  <c r="K336" i="1"/>
  <c r="M335" i="1"/>
  <c r="L335" i="1"/>
  <c r="K335" i="1"/>
  <c r="O334" i="1"/>
  <c r="P334" i="1" s="1"/>
  <c r="M334" i="1"/>
  <c r="L334" i="1"/>
  <c r="K334" i="1"/>
  <c r="O333" i="1"/>
  <c r="P333" i="1" s="1"/>
  <c r="M333" i="1"/>
  <c r="L333" i="1"/>
  <c r="K333" i="1"/>
  <c r="O332" i="1"/>
  <c r="P332" i="1" s="1"/>
  <c r="M332" i="1"/>
  <c r="L332" i="1"/>
  <c r="K332" i="1"/>
  <c r="M324" i="2"/>
  <c r="L324" i="2"/>
  <c r="K324" i="2"/>
  <c r="N324" i="2" s="1"/>
  <c r="O324" i="2" s="1"/>
  <c r="P324" i="2" s="1"/>
  <c r="J331" i="1"/>
  <c r="O331" i="1" s="1"/>
  <c r="P331" i="1" s="1"/>
  <c r="J330" i="1"/>
  <c r="AF330" i="1" s="1"/>
  <c r="J360" i="1"/>
  <c r="J323" i="2"/>
  <c r="K329" i="1"/>
  <c r="L329" i="1"/>
  <c r="M329" i="1"/>
  <c r="K328" i="1"/>
  <c r="L328" i="1"/>
  <c r="M328" i="1"/>
  <c r="K327" i="1"/>
  <c r="L327" i="1"/>
  <c r="M327" i="1"/>
  <c r="O299" i="1"/>
  <c r="P299" i="1" s="1"/>
  <c r="O297" i="1"/>
  <c r="P297" i="1" s="1"/>
  <c r="O322" i="2"/>
  <c r="P322" i="2" s="1"/>
  <c r="L322" i="2"/>
  <c r="K322" i="2"/>
  <c r="O321" i="2"/>
  <c r="P321" i="2" s="1"/>
  <c r="L321" i="2"/>
  <c r="K321" i="2"/>
  <c r="N321" i="2" s="1"/>
  <c r="Q321" i="2" s="1"/>
  <c r="O320" i="2"/>
  <c r="P320" i="2" s="1"/>
  <c r="L320" i="2"/>
  <c r="K320" i="2"/>
  <c r="N320" i="2" s="1"/>
  <c r="Q320" i="2" s="1"/>
  <c r="O319" i="2"/>
  <c r="P319" i="2" s="1"/>
  <c r="L319" i="2"/>
  <c r="K319" i="2"/>
  <c r="O312" i="1"/>
  <c r="P312" i="1" s="1"/>
  <c r="O311" i="1"/>
  <c r="P311" i="1" s="1"/>
  <c r="O310" i="1"/>
  <c r="P310" i="1" s="1"/>
  <c r="O309" i="1"/>
  <c r="P309" i="1" s="1"/>
  <c r="J318" i="2"/>
  <c r="O326" i="1"/>
  <c r="P326" i="1" s="1"/>
  <c r="O325" i="1"/>
  <c r="P325" i="1" s="1"/>
  <c r="O324" i="1"/>
  <c r="P324" i="1" s="1"/>
  <c r="O323" i="1"/>
  <c r="P323" i="1" s="1"/>
  <c r="M326" i="1"/>
  <c r="L326" i="1"/>
  <c r="K326" i="1"/>
  <c r="M325" i="1"/>
  <c r="L325" i="1"/>
  <c r="K325" i="1"/>
  <c r="M324" i="1"/>
  <c r="L324" i="1"/>
  <c r="K324" i="1"/>
  <c r="M323" i="1"/>
  <c r="L323" i="1"/>
  <c r="K323" i="1"/>
  <c r="M322" i="1"/>
  <c r="L322" i="1"/>
  <c r="K322" i="1"/>
  <c r="M321" i="1"/>
  <c r="L321" i="1"/>
  <c r="K321" i="1"/>
  <c r="M315" i="1"/>
  <c r="L315" i="1"/>
  <c r="K315" i="1"/>
  <c r="M314" i="1"/>
  <c r="K314" i="1"/>
  <c r="L314" i="1"/>
  <c r="K320" i="1"/>
  <c r="L320" i="1"/>
  <c r="M320" i="1"/>
  <c r="M319" i="1"/>
  <c r="L319" i="1"/>
  <c r="K319" i="1"/>
  <c r="M318" i="1"/>
  <c r="L318" i="1"/>
  <c r="K318" i="1"/>
  <c r="M317" i="1"/>
  <c r="L317" i="1"/>
  <c r="K317" i="1"/>
  <c r="J316" i="1"/>
  <c r="P316" i="1" s="1"/>
  <c r="K313" i="1"/>
  <c r="L313" i="1"/>
  <c r="O307" i="1"/>
  <c r="P307" i="1" s="1"/>
  <c r="O304" i="1"/>
  <c r="P304" i="1" s="1"/>
  <c r="O303" i="1"/>
  <c r="P303" i="1" s="1"/>
  <c r="O302" i="1"/>
  <c r="P302" i="1" s="1"/>
  <c r="O301" i="1"/>
  <c r="P301" i="1" s="1"/>
  <c r="O300" i="1"/>
  <c r="P300" i="1" s="1"/>
  <c r="L312" i="1"/>
  <c r="K312" i="1"/>
  <c r="L311" i="1"/>
  <c r="K311" i="1"/>
  <c r="L310" i="1"/>
  <c r="K310" i="1"/>
  <c r="L309" i="1"/>
  <c r="K309" i="1"/>
  <c r="P363" i="1"/>
  <c r="K308" i="1"/>
  <c r="L308" i="1"/>
  <c r="M308" i="1"/>
  <c r="Q290" i="2"/>
  <c r="O290" i="2"/>
  <c r="P290" i="2" s="1"/>
  <c r="M290" i="2"/>
  <c r="L290" i="2"/>
  <c r="K290" i="2"/>
  <c r="O258" i="2"/>
  <c r="P258" i="2" s="1"/>
  <c r="M258" i="2"/>
  <c r="L258" i="2"/>
  <c r="K258" i="2"/>
  <c r="O256" i="2"/>
  <c r="P256" i="2" s="1"/>
  <c r="M256" i="2"/>
  <c r="L256" i="2"/>
  <c r="K256" i="2"/>
  <c r="O255" i="2"/>
  <c r="P255" i="2" s="1"/>
  <c r="M255" i="2"/>
  <c r="L255" i="2"/>
  <c r="K255" i="2"/>
  <c r="J311" i="2"/>
  <c r="O290" i="1"/>
  <c r="P290" i="1" s="1"/>
  <c r="M302" i="1"/>
  <c r="M307" i="1"/>
  <c r="L307" i="1"/>
  <c r="K307" i="1"/>
  <c r="J306" i="1"/>
  <c r="O306" i="1" s="1"/>
  <c r="P306" i="1" s="1"/>
  <c r="J305" i="1"/>
  <c r="AF305" i="1" s="1"/>
  <c r="M304" i="1"/>
  <c r="L304" i="1"/>
  <c r="K304" i="1"/>
  <c r="M303" i="1"/>
  <c r="L303" i="1"/>
  <c r="K303" i="1"/>
  <c r="L302" i="1"/>
  <c r="K302" i="1"/>
  <c r="M301" i="1"/>
  <c r="L301" i="1"/>
  <c r="K301" i="1"/>
  <c r="M300" i="1"/>
  <c r="L300" i="1"/>
  <c r="K300" i="1"/>
  <c r="O293" i="2"/>
  <c r="P293" i="2" s="1"/>
  <c r="M293" i="2"/>
  <c r="L293" i="2"/>
  <c r="K293" i="2"/>
  <c r="Q269" i="2"/>
  <c r="Q273" i="2"/>
  <c r="Q244" i="1"/>
  <c r="Q245" i="1"/>
  <c r="L310" i="2"/>
  <c r="K310" i="2"/>
  <c r="L309" i="2"/>
  <c r="K309" i="2"/>
  <c r="L308" i="2"/>
  <c r="K308" i="2"/>
  <c r="L307" i="2"/>
  <c r="K307" i="2"/>
  <c r="Q306" i="2"/>
  <c r="M306" i="2"/>
  <c r="L306" i="2"/>
  <c r="K306" i="2"/>
  <c r="Q305" i="2"/>
  <c r="M305" i="2"/>
  <c r="L305" i="2"/>
  <c r="K305" i="2"/>
  <c r="Q304" i="2"/>
  <c r="M304" i="2"/>
  <c r="L304" i="2"/>
  <c r="K304" i="2"/>
  <c r="Q287" i="1"/>
  <c r="Q288" i="1"/>
  <c r="Q289" i="1"/>
  <c r="O303" i="2"/>
  <c r="P303" i="2" s="1"/>
  <c r="M303" i="2"/>
  <c r="L303" i="2"/>
  <c r="K303" i="2"/>
  <c r="O302" i="2"/>
  <c r="P302" i="2" s="1"/>
  <c r="M302" i="2"/>
  <c r="L302" i="2"/>
  <c r="K302" i="2"/>
  <c r="J301" i="2"/>
  <c r="K301" i="2" s="1"/>
  <c r="J300" i="2"/>
  <c r="L300" i="2" s="1"/>
  <c r="M299" i="2"/>
  <c r="L299" i="2"/>
  <c r="K299" i="2"/>
  <c r="AH359" i="1"/>
  <c r="T359" i="1"/>
  <c r="S359" i="1"/>
  <c r="R359" i="1"/>
  <c r="M299" i="1"/>
  <c r="L299" i="1"/>
  <c r="K299" i="1"/>
  <c r="K298" i="1"/>
  <c r="L298" i="1"/>
  <c r="M298" i="1"/>
  <c r="K297" i="1"/>
  <c r="L297" i="1"/>
  <c r="M297" i="1"/>
  <c r="M296" i="1"/>
  <c r="L296" i="1"/>
  <c r="K296" i="1"/>
  <c r="M295" i="1"/>
  <c r="L295" i="1"/>
  <c r="K295" i="1"/>
  <c r="M293" i="1"/>
  <c r="L293" i="1"/>
  <c r="K293" i="1"/>
  <c r="M292" i="1"/>
  <c r="L292" i="1"/>
  <c r="K292" i="1"/>
  <c r="J291" i="1"/>
  <c r="M290" i="1"/>
  <c r="L290" i="1"/>
  <c r="K290" i="1"/>
  <c r="L285" i="1"/>
  <c r="K285" i="1"/>
  <c r="L284" i="1"/>
  <c r="K284" i="1"/>
  <c r="L283" i="1"/>
  <c r="K283" i="1"/>
  <c r="L282" i="1"/>
  <c r="K282" i="1"/>
  <c r="Q298" i="2"/>
  <c r="O298" i="2"/>
  <c r="P298" i="2" s="1"/>
  <c r="M298" i="2"/>
  <c r="L298" i="2"/>
  <c r="K298" i="2"/>
  <c r="Q297" i="2"/>
  <c r="O297" i="2"/>
  <c r="P297" i="2" s="1"/>
  <c r="M297" i="2"/>
  <c r="L297" i="2"/>
  <c r="K297" i="2"/>
  <c r="Q296" i="2"/>
  <c r="O296" i="2"/>
  <c r="P296" i="2" s="1"/>
  <c r="M296" i="2"/>
  <c r="L296" i="2"/>
  <c r="K296" i="2"/>
  <c r="Q295" i="2"/>
  <c r="O295" i="2"/>
  <c r="P295" i="2" s="1"/>
  <c r="M295" i="2"/>
  <c r="L295" i="2"/>
  <c r="K295" i="2"/>
  <c r="Q294" i="2"/>
  <c r="O294" i="2"/>
  <c r="P294" i="2" s="1"/>
  <c r="M294" i="2"/>
  <c r="L294" i="2"/>
  <c r="K294" i="2"/>
  <c r="Q279" i="1"/>
  <c r="Q278" i="1"/>
  <c r="Q277" i="1"/>
  <c r="Q276" i="1"/>
  <c r="Q273" i="1"/>
  <c r="M289" i="1"/>
  <c r="L289" i="1"/>
  <c r="K289" i="1"/>
  <c r="M288" i="1"/>
  <c r="L288" i="1"/>
  <c r="K288" i="1"/>
  <c r="M287" i="1"/>
  <c r="L287" i="1"/>
  <c r="K287" i="1"/>
  <c r="M286" i="1"/>
  <c r="L286" i="1"/>
  <c r="K286" i="1"/>
  <c r="L292" i="2"/>
  <c r="K292" i="2"/>
  <c r="L291" i="2"/>
  <c r="K291" i="2"/>
  <c r="K274" i="1"/>
  <c r="L274" i="1"/>
  <c r="M330" i="1" l="1"/>
  <c r="AF306" i="1"/>
  <c r="AF331" i="1"/>
  <c r="M331" i="1"/>
  <c r="N350" i="1"/>
  <c r="N349" i="1"/>
  <c r="P296" i="1"/>
  <c r="P295" i="1"/>
  <c r="P294" i="1"/>
  <c r="P272" i="1"/>
  <c r="N353" i="1"/>
  <c r="N352" i="1"/>
  <c r="N351" i="1"/>
  <c r="N348" i="1"/>
  <c r="N347" i="1"/>
  <c r="U347" i="1" s="1"/>
  <c r="N346" i="1"/>
  <c r="N345" i="1"/>
  <c r="N344" i="1"/>
  <c r="O344" i="1" s="1"/>
  <c r="N343" i="1"/>
  <c r="U343" i="1" s="1"/>
  <c r="N342" i="1"/>
  <c r="O342" i="1" s="1"/>
  <c r="N341" i="1"/>
  <c r="O341" i="1" s="1"/>
  <c r="N336" i="1"/>
  <c r="N340" i="1"/>
  <c r="U340" i="1" s="1"/>
  <c r="N339" i="1"/>
  <c r="N338" i="1"/>
  <c r="N334" i="1"/>
  <c r="N337" i="1"/>
  <c r="N335" i="1"/>
  <c r="N332" i="1"/>
  <c r="U332" i="1" s="1"/>
  <c r="N333" i="1"/>
  <c r="N329" i="1"/>
  <c r="K331" i="1"/>
  <c r="L331" i="1"/>
  <c r="K330" i="1"/>
  <c r="L330" i="1"/>
  <c r="N327" i="1"/>
  <c r="N295" i="2"/>
  <c r="N297" i="2"/>
  <c r="L323" i="2"/>
  <c r="O323" i="2"/>
  <c r="P323" i="2" s="1"/>
  <c r="K323" i="2"/>
  <c r="M323" i="2"/>
  <c r="N328" i="1"/>
  <c r="N321" i="1"/>
  <c r="N323" i="1"/>
  <c r="Q323" i="1" s="1"/>
  <c r="U323" i="1" s="1"/>
  <c r="N290" i="2"/>
  <c r="U290" i="2" s="1"/>
  <c r="N322" i="2"/>
  <c r="Q322" i="2" s="1"/>
  <c r="N319" i="2"/>
  <c r="Q319" i="2" s="1"/>
  <c r="N258" i="2"/>
  <c r="N325" i="1"/>
  <c r="Q325" i="1" s="1"/>
  <c r="U325" i="1" s="1"/>
  <c r="W325" i="1" s="1"/>
  <c r="M318" i="2"/>
  <c r="L318" i="2"/>
  <c r="K318" i="2"/>
  <c r="N318" i="2" s="1"/>
  <c r="O318" i="2" s="1"/>
  <c r="P318" i="2" s="1"/>
  <c r="N324" i="1"/>
  <c r="Q324" i="1" s="1"/>
  <c r="U324" i="1" s="1"/>
  <c r="W324" i="1" s="1"/>
  <c r="N326" i="1"/>
  <c r="Q326" i="1" s="1"/>
  <c r="U326" i="1" s="1"/>
  <c r="W326" i="1" s="1"/>
  <c r="N322" i="1"/>
  <c r="O322" i="1" s="1"/>
  <c r="P322" i="1" s="1"/>
  <c r="N317" i="1"/>
  <c r="N320" i="1"/>
  <c r="N315" i="1"/>
  <c r="O315" i="1" s="1"/>
  <c r="N314" i="1"/>
  <c r="O314" i="1" s="1"/>
  <c r="N319" i="1"/>
  <c r="N318" i="1"/>
  <c r="M316" i="1"/>
  <c r="L316" i="1"/>
  <c r="K316" i="1"/>
  <c r="N310" i="1"/>
  <c r="Q310" i="1" s="1"/>
  <c r="U310" i="1" s="1"/>
  <c r="W310" i="1" s="1"/>
  <c r="L306" i="1"/>
  <c r="M306" i="1"/>
  <c r="K306" i="1"/>
  <c r="K305" i="1"/>
  <c r="L305" i="1"/>
  <c r="M305" i="1"/>
  <c r="N309" i="1"/>
  <c r="Q309" i="1" s="1"/>
  <c r="U309" i="1" s="1"/>
  <c r="W309" i="1" s="1"/>
  <c r="N256" i="2"/>
  <c r="N313" i="1"/>
  <c r="U313" i="1" s="1"/>
  <c r="W313" i="1" s="1"/>
  <c r="N312" i="1"/>
  <c r="Q312" i="1" s="1"/>
  <c r="U312" i="1" s="1"/>
  <c r="W312" i="1" s="1"/>
  <c r="N311" i="1"/>
  <c r="Q311" i="1" s="1"/>
  <c r="U311" i="1" s="1"/>
  <c r="W311" i="1" s="1"/>
  <c r="N308" i="1"/>
  <c r="O308" i="1" s="1"/>
  <c r="N255" i="2"/>
  <c r="N306" i="2"/>
  <c r="O306" i="2" s="1"/>
  <c r="P306" i="2" s="1"/>
  <c r="P311" i="2"/>
  <c r="M311" i="2"/>
  <c r="K311" i="2"/>
  <c r="L311" i="2"/>
  <c r="N307" i="1"/>
  <c r="Q307" i="1" s="1"/>
  <c r="U307" i="1" s="1"/>
  <c r="W307" i="1" s="1"/>
  <c r="N300" i="1"/>
  <c r="N304" i="1"/>
  <c r="N302" i="1"/>
  <c r="N303" i="1"/>
  <c r="N301" i="1"/>
  <c r="N303" i="2"/>
  <c r="Q303" i="2" s="1"/>
  <c r="N293" i="2"/>
  <c r="U293" i="2" s="1"/>
  <c r="N309" i="2"/>
  <c r="Q309" i="2" s="1"/>
  <c r="O309" i="2" s="1"/>
  <c r="P309" i="2" s="1"/>
  <c r="N310" i="2"/>
  <c r="Q310" i="2" s="1"/>
  <c r="O310" i="2" s="1"/>
  <c r="P310" i="2" s="1"/>
  <c r="N308" i="2"/>
  <c r="Q308" i="2" s="1"/>
  <c r="O308" i="2" s="1"/>
  <c r="P308" i="2" s="1"/>
  <c r="N304" i="2"/>
  <c r="O304" i="2" s="1"/>
  <c r="P304" i="2" s="1"/>
  <c r="N305" i="2"/>
  <c r="O305" i="2" s="1"/>
  <c r="P305" i="2" s="1"/>
  <c r="N307" i="2"/>
  <c r="Q307" i="2" s="1"/>
  <c r="O307" i="2" s="1"/>
  <c r="P307" i="2" s="1"/>
  <c r="M301" i="2"/>
  <c r="O301" i="2"/>
  <c r="P301" i="2" s="1"/>
  <c r="L301" i="2"/>
  <c r="N302" i="2"/>
  <c r="Q302" i="2" s="1"/>
  <c r="K300" i="2"/>
  <c r="M300" i="2"/>
  <c r="N299" i="2"/>
  <c r="O299" i="2" s="1"/>
  <c r="P299" i="2" s="1"/>
  <c r="N299" i="1"/>
  <c r="Q299" i="1" s="1"/>
  <c r="U299" i="1" s="1"/>
  <c r="W299" i="1" s="1"/>
  <c r="N296" i="1"/>
  <c r="N295" i="1"/>
  <c r="N298" i="1"/>
  <c r="N297" i="1"/>
  <c r="N283" i="1"/>
  <c r="N292" i="1"/>
  <c r="N293" i="1"/>
  <c r="N290" i="1"/>
  <c r="U290" i="1" s="1"/>
  <c r="W290" i="1" s="1"/>
  <c r="K294" i="1"/>
  <c r="L294" i="1"/>
  <c r="K291" i="1"/>
  <c r="L291" i="1"/>
  <c r="M291" i="1"/>
  <c r="M294" i="1"/>
  <c r="N285" i="1"/>
  <c r="N284" i="1"/>
  <c r="N282" i="1"/>
  <c r="N298" i="2"/>
  <c r="N296" i="2"/>
  <c r="N291" i="2"/>
  <c r="O291" i="2" s="1"/>
  <c r="P291" i="2" s="1"/>
  <c r="N287" i="1"/>
  <c r="N294" i="2"/>
  <c r="N292" i="2"/>
  <c r="O292" i="2" s="1"/>
  <c r="P292" i="2" s="1"/>
  <c r="N288" i="1"/>
  <c r="N289" i="1"/>
  <c r="O289" i="1" s="1"/>
  <c r="P289" i="1" s="1"/>
  <c r="N274" i="1"/>
  <c r="O274" i="1" s="1"/>
  <c r="P274" i="1" s="1"/>
  <c r="N286" i="1"/>
  <c r="O286" i="1" s="1"/>
  <c r="P286" i="1" s="1"/>
  <c r="L275" i="1"/>
  <c r="K275" i="1"/>
  <c r="J289" i="2"/>
  <c r="M289" i="2" s="1"/>
  <c r="J281" i="1"/>
  <c r="J280" i="1"/>
  <c r="O279" i="1"/>
  <c r="P279" i="1" s="1"/>
  <c r="O278" i="1"/>
  <c r="P278" i="1" s="1"/>
  <c r="O277" i="1"/>
  <c r="P277" i="1" s="1"/>
  <c r="O276" i="1"/>
  <c r="P276" i="1" s="1"/>
  <c r="O273" i="1"/>
  <c r="P273" i="1" s="1"/>
  <c r="O256" i="1"/>
  <c r="P256" i="1" s="1"/>
  <c r="O250" i="1"/>
  <c r="P250" i="1" s="1"/>
  <c r="O228" i="1"/>
  <c r="O210" i="1"/>
  <c r="O185" i="1"/>
  <c r="K279" i="1"/>
  <c r="L279" i="1"/>
  <c r="M279" i="1"/>
  <c r="K278" i="1"/>
  <c r="L278" i="1"/>
  <c r="M278" i="1"/>
  <c r="K277" i="1"/>
  <c r="L277" i="1"/>
  <c r="M277" i="1"/>
  <c r="M276" i="1"/>
  <c r="L276" i="1"/>
  <c r="K276" i="1"/>
  <c r="K273" i="1"/>
  <c r="L273" i="1"/>
  <c r="M273" i="1"/>
  <c r="O270" i="1"/>
  <c r="P270" i="1" s="1"/>
  <c r="O269" i="1"/>
  <c r="P269" i="1" s="1"/>
  <c r="J288" i="2"/>
  <c r="M288" i="2" s="1"/>
  <c r="J287" i="2"/>
  <c r="O287" i="2" s="1"/>
  <c r="P287" i="2" s="1"/>
  <c r="Q250" i="1"/>
  <c r="O286" i="2"/>
  <c r="P286" i="2" s="1"/>
  <c r="M286" i="2"/>
  <c r="L286" i="2"/>
  <c r="K286" i="2"/>
  <c r="O285" i="2"/>
  <c r="P285" i="2" s="1"/>
  <c r="M285" i="2"/>
  <c r="L285" i="2"/>
  <c r="K285" i="2"/>
  <c r="J284" i="2"/>
  <c r="O284" i="2" s="1"/>
  <c r="O223" i="1"/>
  <c r="P223" i="1" s="1"/>
  <c r="O222" i="1"/>
  <c r="P222" i="1" s="1"/>
  <c r="M272" i="1"/>
  <c r="L272" i="1"/>
  <c r="K272" i="1"/>
  <c r="M267" i="1"/>
  <c r="L267" i="1"/>
  <c r="K267" i="1"/>
  <c r="J271" i="1"/>
  <c r="J268" i="1"/>
  <c r="L268" i="1" s="1"/>
  <c r="M270" i="1"/>
  <c r="L270" i="1"/>
  <c r="K270" i="1"/>
  <c r="M269" i="1"/>
  <c r="L269" i="1"/>
  <c r="K269" i="1"/>
  <c r="O283" i="2"/>
  <c r="L283" i="2"/>
  <c r="K283" i="2"/>
  <c r="O282" i="2"/>
  <c r="L282" i="2"/>
  <c r="K282" i="2"/>
  <c r="O281" i="2"/>
  <c r="L281" i="2"/>
  <c r="K281" i="2"/>
  <c r="O280" i="2"/>
  <c r="L280" i="2"/>
  <c r="K280" i="2"/>
  <c r="M279" i="2"/>
  <c r="L279" i="2"/>
  <c r="K279" i="2"/>
  <c r="P278" i="2"/>
  <c r="M278" i="2"/>
  <c r="L278" i="2"/>
  <c r="K278" i="2"/>
  <c r="P277" i="2"/>
  <c r="M277" i="2"/>
  <c r="L277" i="2"/>
  <c r="K277" i="2"/>
  <c r="P276" i="2"/>
  <c r="M276" i="2"/>
  <c r="L276" i="2"/>
  <c r="K276" i="2"/>
  <c r="P275" i="2"/>
  <c r="M275" i="2"/>
  <c r="L275" i="2"/>
  <c r="K275" i="2"/>
  <c r="P274" i="2"/>
  <c r="M274" i="2"/>
  <c r="L274" i="2"/>
  <c r="K274" i="2"/>
  <c r="M273" i="2"/>
  <c r="L273" i="2"/>
  <c r="K273" i="2"/>
  <c r="O262" i="1"/>
  <c r="O261" i="1"/>
  <c r="O260" i="1"/>
  <c r="O259" i="1"/>
  <c r="K264" i="1"/>
  <c r="L264" i="1"/>
  <c r="M264" i="1"/>
  <c r="M266" i="1"/>
  <c r="L266" i="1"/>
  <c r="K266" i="1"/>
  <c r="M265" i="1"/>
  <c r="L265" i="1"/>
  <c r="K265" i="1"/>
  <c r="P255" i="1"/>
  <c r="P254" i="1"/>
  <c r="P253" i="1"/>
  <c r="P252" i="1"/>
  <c r="P251" i="1"/>
  <c r="M269" i="2"/>
  <c r="L269" i="2"/>
  <c r="K269" i="2"/>
  <c r="P272" i="2"/>
  <c r="M272" i="2"/>
  <c r="L272" i="2"/>
  <c r="K272" i="2"/>
  <c r="P271" i="2"/>
  <c r="M271" i="2"/>
  <c r="L271" i="2"/>
  <c r="K271" i="2"/>
  <c r="J270" i="2"/>
  <c r="M270" i="2" s="1"/>
  <c r="P248" i="1"/>
  <c r="P247" i="1"/>
  <c r="L262" i="1"/>
  <c r="K262" i="1"/>
  <c r="L261" i="1"/>
  <c r="K261" i="1"/>
  <c r="L260" i="1"/>
  <c r="K260" i="1"/>
  <c r="L259" i="1"/>
  <c r="K259" i="1"/>
  <c r="L280" i="1" l="1"/>
  <c r="AF280" i="1"/>
  <c r="AF271" i="1"/>
  <c r="O271" i="1"/>
  <c r="P271" i="1" s="1"/>
  <c r="M281" i="1"/>
  <c r="AF281" i="1"/>
  <c r="Q319" i="1"/>
  <c r="U319" i="1" s="1"/>
  <c r="U298" i="1"/>
  <c r="W298" i="1" s="1"/>
  <c r="U352" i="1"/>
  <c r="W352" i="1" s="1"/>
  <c r="U353" i="1"/>
  <c r="W353" i="1" s="1"/>
  <c r="Q351" i="1"/>
  <c r="U351" i="1" s="1"/>
  <c r="W351" i="1" s="1"/>
  <c r="U328" i="1"/>
  <c r="U349" i="1"/>
  <c r="W349" i="1" s="1"/>
  <c r="Q350" i="1"/>
  <c r="U350" i="1" s="1"/>
  <c r="W350" i="1" s="1"/>
  <c r="U329" i="1"/>
  <c r="Q295" i="1"/>
  <c r="U295" i="1" s="1"/>
  <c r="W295" i="1" s="1"/>
  <c r="Q296" i="1"/>
  <c r="U296" i="1" s="1"/>
  <c r="W296" i="1" s="1"/>
  <c r="U322" i="1"/>
  <c r="W322" i="1" s="1"/>
  <c r="O321" i="1"/>
  <c r="P321" i="1" s="1"/>
  <c r="O293" i="1"/>
  <c r="P293" i="1" s="1"/>
  <c r="O345" i="1"/>
  <c r="P345" i="1" s="1"/>
  <c r="O292" i="1"/>
  <c r="P292" i="1" s="1"/>
  <c r="U346" i="1"/>
  <c r="U320" i="1"/>
  <c r="Q337" i="1"/>
  <c r="U337" i="1" s="1"/>
  <c r="W337" i="1" s="1"/>
  <c r="Q338" i="1"/>
  <c r="U338" i="1" s="1"/>
  <c r="W338" i="1" s="1"/>
  <c r="Q339" i="1"/>
  <c r="U339" i="1" s="1"/>
  <c r="W339" i="1" s="1"/>
  <c r="Q336" i="1"/>
  <c r="U336" i="1" s="1"/>
  <c r="W336" i="1" s="1"/>
  <c r="N267" i="1"/>
  <c r="Q334" i="1"/>
  <c r="U334" i="1" s="1"/>
  <c r="W334" i="1" s="1"/>
  <c r="Q335" i="1"/>
  <c r="U335" i="1" s="1"/>
  <c r="W335" i="1" s="1"/>
  <c r="Q333" i="1"/>
  <c r="U333" i="1" s="1"/>
  <c r="W333" i="1" s="1"/>
  <c r="U327" i="1"/>
  <c r="W327" i="1" s="1"/>
  <c r="U344" i="1"/>
  <c r="W344" i="1" s="1"/>
  <c r="P344" i="1"/>
  <c r="U341" i="1"/>
  <c r="W341" i="1" s="1"/>
  <c r="P341" i="1"/>
  <c r="U342" i="1"/>
  <c r="W342" i="1" s="1"/>
  <c r="P342" i="1"/>
  <c r="U315" i="1"/>
  <c r="W315" i="1" s="1"/>
  <c r="P315" i="1"/>
  <c r="O348" i="1"/>
  <c r="Q317" i="1"/>
  <c r="U317" i="1" s="1"/>
  <c r="W317" i="1" s="1"/>
  <c r="Q318" i="1"/>
  <c r="Q297" i="1"/>
  <c r="U297" i="1" s="1"/>
  <c r="W297" i="1" s="1"/>
  <c r="U308" i="1"/>
  <c r="W308" i="1" s="1"/>
  <c r="P308" i="1"/>
  <c r="N330" i="1"/>
  <c r="O330" i="1" s="1"/>
  <c r="U314" i="1"/>
  <c r="W314" i="1" s="1"/>
  <c r="P314" i="1"/>
  <c r="N331" i="1"/>
  <c r="U331" i="1" s="1"/>
  <c r="W331" i="1" s="1"/>
  <c r="N323" i="2"/>
  <c r="W323" i="1"/>
  <c r="Q300" i="1"/>
  <c r="U300" i="1" s="1"/>
  <c r="W300" i="1" s="1"/>
  <c r="Q304" i="1"/>
  <c r="U304" i="1" s="1"/>
  <c r="W304" i="1" s="1"/>
  <c r="Q302" i="1"/>
  <c r="U302" i="1" s="1"/>
  <c r="W302" i="1" s="1"/>
  <c r="Q303" i="1"/>
  <c r="U303" i="1" s="1"/>
  <c r="W303" i="1" s="1"/>
  <c r="Q301" i="1"/>
  <c r="U301" i="1" s="1"/>
  <c r="W301" i="1" s="1"/>
  <c r="N306" i="1"/>
  <c r="U306" i="1" s="1"/>
  <c r="W306" i="1" s="1"/>
  <c r="N305" i="1"/>
  <c r="O305" i="1" s="1"/>
  <c r="N316" i="1"/>
  <c r="N311" i="2"/>
  <c r="O288" i="1"/>
  <c r="P288" i="1" s="1"/>
  <c r="Q282" i="1"/>
  <c r="O282" i="1" s="1"/>
  <c r="O287" i="1"/>
  <c r="P287" i="1" s="1"/>
  <c r="Q284" i="1"/>
  <c r="O284" i="1" s="1"/>
  <c r="Q285" i="1"/>
  <c r="O285" i="1" s="1"/>
  <c r="P285" i="1" s="1"/>
  <c r="Q283" i="1"/>
  <c r="O283" i="1" s="1"/>
  <c r="P283" i="1" s="1"/>
  <c r="N300" i="2"/>
  <c r="O300" i="2" s="1"/>
  <c r="P300" i="2" s="1"/>
  <c r="N301" i="2"/>
  <c r="Q301" i="2" s="1"/>
  <c r="N291" i="1"/>
  <c r="N294" i="1"/>
  <c r="K289" i="2"/>
  <c r="U286" i="1"/>
  <c r="W286" i="1" s="1"/>
  <c r="U289" i="1"/>
  <c r="W289" i="1" s="1"/>
  <c r="L281" i="1"/>
  <c r="N275" i="1"/>
  <c r="O275" i="1" s="1"/>
  <c r="P275" i="1" s="1"/>
  <c r="U274" i="1"/>
  <c r="W274" i="1" s="1"/>
  <c r="L289" i="2"/>
  <c r="K280" i="1"/>
  <c r="M280" i="1"/>
  <c r="K281" i="1"/>
  <c r="N285" i="2"/>
  <c r="Q285" i="2" s="1"/>
  <c r="N286" i="2"/>
  <c r="Q286" i="2" s="1"/>
  <c r="N279" i="1"/>
  <c r="N277" i="1"/>
  <c r="N278" i="1"/>
  <c r="N276" i="1"/>
  <c r="N273" i="1"/>
  <c r="O268" i="1"/>
  <c r="P268" i="1" s="1"/>
  <c r="L287" i="2"/>
  <c r="L288" i="2"/>
  <c r="O288" i="2"/>
  <c r="P288" i="2" s="1"/>
  <c r="K287" i="2"/>
  <c r="M287" i="2"/>
  <c r="K288" i="2"/>
  <c r="P284" i="2"/>
  <c r="K284" i="2"/>
  <c r="L284" i="2"/>
  <c r="M284" i="2"/>
  <c r="N275" i="2"/>
  <c r="N272" i="1"/>
  <c r="N279" i="2"/>
  <c r="O279" i="2" s="1"/>
  <c r="P279" i="2" s="1"/>
  <c r="N280" i="2"/>
  <c r="Q280" i="2" s="1"/>
  <c r="N270" i="1"/>
  <c r="N281" i="2"/>
  <c r="Q281" i="2" s="1"/>
  <c r="N277" i="2"/>
  <c r="N282" i="2"/>
  <c r="Q282" i="2" s="1"/>
  <c r="M268" i="1"/>
  <c r="N269" i="1"/>
  <c r="N274" i="2"/>
  <c r="N278" i="2"/>
  <c r="N283" i="2"/>
  <c r="Q283" i="2" s="1"/>
  <c r="N276" i="2"/>
  <c r="K268" i="1"/>
  <c r="K271" i="1"/>
  <c r="L271" i="1"/>
  <c r="M271" i="1"/>
  <c r="N273" i="2"/>
  <c r="O273" i="2" s="1"/>
  <c r="P273" i="2" s="1"/>
  <c r="N272" i="2"/>
  <c r="N271" i="2"/>
  <c r="N269" i="2"/>
  <c r="O269" i="2" s="1"/>
  <c r="P269" i="2" s="1"/>
  <c r="N264" i="1"/>
  <c r="N266" i="1"/>
  <c r="N265" i="1"/>
  <c r="N262" i="1"/>
  <c r="N261" i="1"/>
  <c r="N259" i="1"/>
  <c r="K270" i="2"/>
  <c r="L270" i="2"/>
  <c r="P270" i="2"/>
  <c r="N260" i="1"/>
  <c r="M263" i="1"/>
  <c r="L263" i="1"/>
  <c r="K263" i="1"/>
  <c r="Q294" i="1" l="1"/>
  <c r="U294" i="1" s="1"/>
  <c r="W294" i="1" s="1"/>
  <c r="Q272" i="1"/>
  <c r="U272" i="1" s="1"/>
  <c r="W272" i="1" s="1"/>
  <c r="Q267" i="1"/>
  <c r="U267" i="1" s="1"/>
  <c r="W267" i="1" s="1"/>
  <c r="U292" i="1"/>
  <c r="W292" i="1" s="1"/>
  <c r="U321" i="1"/>
  <c r="W321" i="1" s="1"/>
  <c r="U345" i="1"/>
  <c r="W345" i="1" s="1"/>
  <c r="O266" i="1"/>
  <c r="P266" i="1" s="1"/>
  <c r="U293" i="1"/>
  <c r="W293" i="1" s="1"/>
  <c r="O265" i="1"/>
  <c r="P265" i="1" s="1"/>
  <c r="U330" i="1"/>
  <c r="W330" i="1" s="1"/>
  <c r="P330" i="1"/>
  <c r="U305" i="1"/>
  <c r="W305" i="1" s="1"/>
  <c r="P305" i="1"/>
  <c r="P320" i="1"/>
  <c r="W319" i="1"/>
  <c r="P348" i="1"/>
  <c r="U348" i="1"/>
  <c r="W348" i="1" s="1"/>
  <c r="U318" i="1"/>
  <c r="W318" i="1" s="1"/>
  <c r="Q316" i="1"/>
  <c r="U316" i="1" s="1"/>
  <c r="O291" i="1"/>
  <c r="O264" i="1"/>
  <c r="P264" i="1" s="1"/>
  <c r="P284" i="1"/>
  <c r="U284" i="1"/>
  <c r="W284" i="1" s="1"/>
  <c r="P282" i="1"/>
  <c r="U282" i="1"/>
  <c r="W282" i="1" s="1"/>
  <c r="U287" i="1"/>
  <c r="W287" i="1" s="1"/>
  <c r="U283" i="1"/>
  <c r="W283" i="1" s="1"/>
  <c r="U285" i="1"/>
  <c r="W285" i="1" s="1"/>
  <c r="U288" i="1"/>
  <c r="W288" i="1" s="1"/>
  <c r="Q270" i="1"/>
  <c r="U270" i="1" s="1"/>
  <c r="W270" i="1" s="1"/>
  <c r="Q269" i="1"/>
  <c r="U269" i="1" s="1"/>
  <c r="W269" i="1" s="1"/>
  <c r="N289" i="2"/>
  <c r="O289" i="2" s="1"/>
  <c r="P289" i="2" s="1"/>
  <c r="U278" i="1"/>
  <c r="W278" i="1" s="1"/>
  <c r="U273" i="1"/>
  <c r="W273" i="1" s="1"/>
  <c r="U276" i="1"/>
  <c r="W276" i="1" s="1"/>
  <c r="U277" i="1"/>
  <c r="W277" i="1" s="1"/>
  <c r="U279" i="1"/>
  <c r="W279" i="1" s="1"/>
  <c r="N288" i="2"/>
  <c r="Q288" i="2" s="1"/>
  <c r="N281" i="1"/>
  <c r="O281" i="1" s="1"/>
  <c r="U275" i="1"/>
  <c r="W275" i="1" s="1"/>
  <c r="N280" i="1"/>
  <c r="O280" i="1" s="1"/>
  <c r="N287" i="2"/>
  <c r="Q287" i="2" s="1"/>
  <c r="N284" i="2"/>
  <c r="N268" i="1"/>
  <c r="N271" i="1"/>
  <c r="Q261" i="1"/>
  <c r="U261" i="1" s="1"/>
  <c r="W261" i="1" s="1"/>
  <c r="Q262" i="1"/>
  <c r="U262" i="1" s="1"/>
  <c r="W262" i="1" s="1"/>
  <c r="Q260" i="1"/>
  <c r="U260" i="1" s="1"/>
  <c r="W260" i="1" s="1"/>
  <c r="Q259" i="1"/>
  <c r="U259" i="1" s="1"/>
  <c r="W259" i="1" s="1"/>
  <c r="N270" i="2"/>
  <c r="N263" i="1"/>
  <c r="J268" i="2"/>
  <c r="M268" i="2" s="1"/>
  <c r="J257" i="1"/>
  <c r="M257" i="1" l="1"/>
  <c r="AF257" i="1"/>
  <c r="U271" i="1"/>
  <c r="W271" i="1" s="1"/>
  <c r="U265" i="1"/>
  <c r="W265" i="1" s="1"/>
  <c r="U266" i="1"/>
  <c r="W266" i="1" s="1"/>
  <c r="U291" i="1"/>
  <c r="W291" i="1" s="1"/>
  <c r="P291" i="1"/>
  <c r="W316" i="1"/>
  <c r="U280" i="1"/>
  <c r="W280" i="1" s="1"/>
  <c r="P280" i="1"/>
  <c r="U281" i="1"/>
  <c r="W281" i="1" s="1"/>
  <c r="P281" i="1"/>
  <c r="U264" i="1"/>
  <c r="W264" i="1" s="1"/>
  <c r="Q268" i="1"/>
  <c r="U268" i="1" s="1"/>
  <c r="W268" i="1" s="1"/>
  <c r="Q284" i="2"/>
  <c r="O263" i="1"/>
  <c r="P263" i="1" s="1"/>
  <c r="K257" i="1"/>
  <c r="L257" i="1"/>
  <c r="K268" i="2"/>
  <c r="L268" i="2"/>
  <c r="J258" i="1"/>
  <c r="M258" i="1" l="1"/>
  <c r="AF258" i="1"/>
  <c r="U263" i="1"/>
  <c r="W263" i="1" s="1"/>
  <c r="N257" i="1"/>
  <c r="O257" i="1" s="1"/>
  <c r="L258" i="1"/>
  <c r="K258" i="1"/>
  <c r="N268" i="2"/>
  <c r="O268" i="2" s="1"/>
  <c r="P268" i="2" s="1"/>
  <c r="J266" i="2"/>
  <c r="P266" i="2" s="1"/>
  <c r="L267" i="2"/>
  <c r="K267" i="2"/>
  <c r="J267" i="2"/>
  <c r="P267" i="2" s="1"/>
  <c r="K256" i="1"/>
  <c r="L256" i="1"/>
  <c r="M256" i="1"/>
  <c r="J257" i="2"/>
  <c r="M257" i="2" s="1"/>
  <c r="J265" i="2"/>
  <c r="M265" i="2" s="1"/>
  <c r="J264" i="2"/>
  <c r="M264" i="2" s="1"/>
  <c r="J263" i="2"/>
  <c r="J262" i="2"/>
  <c r="M262" i="2" s="1"/>
  <c r="K255" i="1"/>
  <c r="L255" i="1"/>
  <c r="M255" i="1"/>
  <c r="M254" i="1"/>
  <c r="L254" i="1"/>
  <c r="K254" i="1"/>
  <c r="M253" i="1"/>
  <c r="L253" i="1"/>
  <c r="K253" i="1"/>
  <c r="M252" i="1"/>
  <c r="L252" i="1"/>
  <c r="K252" i="1"/>
  <c r="M251" i="1"/>
  <c r="L251" i="1"/>
  <c r="K251" i="1"/>
  <c r="M261" i="2"/>
  <c r="L261" i="2"/>
  <c r="K261" i="2"/>
  <c r="M260" i="2"/>
  <c r="L260" i="2"/>
  <c r="K260" i="2"/>
  <c r="M259" i="2"/>
  <c r="L259" i="2"/>
  <c r="K259" i="2"/>
  <c r="J254" i="2"/>
  <c r="K254" i="2" s="1"/>
  <c r="J253" i="2"/>
  <c r="M250" i="1"/>
  <c r="L250" i="1"/>
  <c r="K250" i="1"/>
  <c r="M252" i="2"/>
  <c r="L252" i="2"/>
  <c r="K252" i="2"/>
  <c r="U257" i="1" l="1"/>
  <c r="W257" i="1" s="1"/>
  <c r="P257" i="1"/>
  <c r="N258" i="1"/>
  <c r="O258" i="1" s="1"/>
  <c r="N259" i="2"/>
  <c r="Q259" i="2" s="1"/>
  <c r="O259" i="2" s="1"/>
  <c r="P259" i="2" s="1"/>
  <c r="L266" i="2"/>
  <c r="M266" i="2"/>
  <c r="K266" i="2"/>
  <c r="M267" i="2"/>
  <c r="N267" i="2" s="1"/>
  <c r="N256" i="1"/>
  <c r="U256" i="1" s="1"/>
  <c r="N255" i="1"/>
  <c r="U255" i="1" s="1"/>
  <c r="K264" i="2"/>
  <c r="K257" i="2"/>
  <c r="L257" i="2"/>
  <c r="L264" i="2"/>
  <c r="K263" i="2"/>
  <c r="K265" i="2"/>
  <c r="L265" i="2"/>
  <c r="K262" i="2"/>
  <c r="L263" i="2"/>
  <c r="L262" i="2"/>
  <c r="M263" i="2"/>
  <c r="N261" i="2"/>
  <c r="Q261" i="2" s="1"/>
  <c r="O261" i="2" s="1"/>
  <c r="P261" i="2" s="1"/>
  <c r="N254" i="1"/>
  <c r="U254" i="1" s="1"/>
  <c r="N253" i="1"/>
  <c r="U253" i="1" s="1"/>
  <c r="N252" i="1"/>
  <c r="U252" i="1" s="1"/>
  <c r="N251" i="1"/>
  <c r="U251" i="1" s="1"/>
  <c r="N260" i="2"/>
  <c r="Q260" i="2" s="1"/>
  <c r="K253" i="2"/>
  <c r="L253" i="2"/>
  <c r="M253" i="2"/>
  <c r="M254" i="2"/>
  <c r="L254" i="2"/>
  <c r="N250" i="1"/>
  <c r="U250" i="1" s="1"/>
  <c r="N252" i="2"/>
  <c r="O252" i="2" s="1"/>
  <c r="P252" i="2" s="1"/>
  <c r="J249" i="1"/>
  <c r="AF249" i="1" s="1"/>
  <c r="M248" i="1"/>
  <c r="L248" i="1"/>
  <c r="K248" i="1"/>
  <c r="M247" i="1"/>
  <c r="L247" i="1"/>
  <c r="K247" i="1"/>
  <c r="J246" i="1"/>
  <c r="AF246" i="1" s="1"/>
  <c r="M245" i="1"/>
  <c r="L245" i="1"/>
  <c r="K245" i="1"/>
  <c r="M244" i="1"/>
  <c r="L244" i="1"/>
  <c r="K244" i="1"/>
  <c r="M243" i="1"/>
  <c r="L243" i="1"/>
  <c r="K243" i="1"/>
  <c r="M242" i="1"/>
  <c r="L242" i="1"/>
  <c r="K242" i="1"/>
  <c r="M241" i="1"/>
  <c r="L241" i="1"/>
  <c r="K241" i="1"/>
  <c r="X359" i="1"/>
  <c r="V359" i="1"/>
  <c r="P251" i="2"/>
  <c r="P250" i="2"/>
  <c r="M251" i="2"/>
  <c r="N251" i="2" s="1"/>
  <c r="M250" i="2"/>
  <c r="N250" i="2" s="1"/>
  <c r="P226" i="1"/>
  <c r="P227" i="1"/>
  <c r="P249" i="2"/>
  <c r="P248" i="2"/>
  <c r="P247" i="2"/>
  <c r="P246" i="2"/>
  <c r="L249" i="2"/>
  <c r="K249" i="2"/>
  <c r="L248" i="2"/>
  <c r="K248" i="2"/>
  <c r="L247" i="2"/>
  <c r="K247" i="2"/>
  <c r="L246" i="2"/>
  <c r="K246" i="2"/>
  <c r="P232" i="1"/>
  <c r="P231" i="1"/>
  <c r="P230" i="1"/>
  <c r="P229" i="1"/>
  <c r="M240" i="1"/>
  <c r="L240" i="1"/>
  <c r="K240" i="1"/>
  <c r="AC359" i="1"/>
  <c r="AB359" i="1"/>
  <c r="AA359" i="1"/>
  <c r="U258" i="1" l="1"/>
  <c r="W258" i="1" s="1"/>
  <c r="P258" i="1"/>
  <c r="W256" i="1"/>
  <c r="L249" i="1"/>
  <c r="K246" i="1"/>
  <c r="P246" i="1"/>
  <c r="W250" i="1"/>
  <c r="N266" i="2"/>
  <c r="N257" i="2"/>
  <c r="O257" i="2" s="1"/>
  <c r="P257" i="2" s="1"/>
  <c r="N264" i="2"/>
  <c r="O264" i="2" s="1"/>
  <c r="P264" i="2" s="1"/>
  <c r="N262" i="2"/>
  <c r="O262" i="2" s="1"/>
  <c r="P262" i="2" s="1"/>
  <c r="N265" i="2"/>
  <c r="O265" i="2" s="1"/>
  <c r="P265" i="2" s="1"/>
  <c r="N263" i="2"/>
  <c r="O263" i="2" s="1"/>
  <c r="P263" i="2" s="1"/>
  <c r="O260" i="2"/>
  <c r="P260" i="2" s="1"/>
  <c r="N254" i="2"/>
  <c r="O254" i="2" s="1"/>
  <c r="P254" i="2" s="1"/>
  <c r="L246" i="1"/>
  <c r="M246" i="1"/>
  <c r="M249" i="1"/>
  <c r="N249" i="2"/>
  <c r="N247" i="2"/>
  <c r="N253" i="2"/>
  <c r="O253" i="2" s="1"/>
  <c r="P253" i="2" s="1"/>
  <c r="N246" i="2"/>
  <c r="N242" i="1"/>
  <c r="N243" i="1"/>
  <c r="N248" i="2"/>
  <c r="N248" i="1"/>
  <c r="N247" i="1"/>
  <c r="K249" i="1"/>
  <c r="N245" i="1"/>
  <c r="N244" i="1"/>
  <c r="N241" i="1"/>
  <c r="N240" i="1"/>
  <c r="P245" i="1" l="1"/>
  <c r="U247" i="1"/>
  <c r="W247" i="1" s="1"/>
  <c r="U248" i="1"/>
  <c r="W248" i="1" s="1"/>
  <c r="Q243" i="1"/>
  <c r="O243" i="1" s="1"/>
  <c r="U243" i="1" s="1"/>
  <c r="Q241" i="1"/>
  <c r="O241" i="1" s="1"/>
  <c r="P241" i="1" s="1"/>
  <c r="Q242" i="1"/>
  <c r="O242" i="1" s="1"/>
  <c r="U242" i="1" s="1"/>
  <c r="N249" i="1"/>
  <c r="N246" i="1"/>
  <c r="O240" i="1"/>
  <c r="P240" i="1" s="1"/>
  <c r="O249" i="1" l="1"/>
  <c r="P249" i="1" s="1"/>
  <c r="U245" i="1"/>
  <c r="W245" i="1" s="1"/>
  <c r="U244" i="1"/>
  <c r="W244" i="1" s="1"/>
  <c r="U240" i="1"/>
  <c r="W240" i="1" s="1"/>
  <c r="U241" i="1"/>
  <c r="W241" i="1" s="1"/>
  <c r="U246" i="1"/>
  <c r="W246" i="1" s="1"/>
  <c r="P242" i="1"/>
  <c r="W242" i="1"/>
  <c r="P243" i="1"/>
  <c r="W243" i="1"/>
  <c r="U249" i="1" l="1"/>
  <c r="W249" i="1" s="1"/>
  <c r="Q245" i="2"/>
  <c r="J245" i="2"/>
  <c r="O245" i="2" s="1"/>
  <c r="P245" i="2" s="1"/>
  <c r="Q244" i="2"/>
  <c r="J244" i="2"/>
  <c r="M244" i="2" s="1"/>
  <c r="Q187" i="1"/>
  <c r="Q186" i="1"/>
  <c r="M243" i="2"/>
  <c r="L243" i="2"/>
  <c r="K243" i="2"/>
  <c r="J239" i="1"/>
  <c r="AF239" i="1" s="1"/>
  <c r="J238" i="1"/>
  <c r="AF238" i="1" s="1"/>
  <c r="J237" i="1"/>
  <c r="AF237" i="1" s="1"/>
  <c r="J236" i="1"/>
  <c r="AF236" i="1" s="1"/>
  <c r="J235" i="1"/>
  <c r="AF235" i="1" s="1"/>
  <c r="J234" i="1"/>
  <c r="AF234" i="1" s="1"/>
  <c r="L233" i="1"/>
  <c r="K233" i="1"/>
  <c r="J233" i="1"/>
  <c r="A3" i="23"/>
  <c r="A4" i="23" s="1"/>
  <c r="A5" i="23" s="1"/>
  <c r="E6" i="23"/>
  <c r="E8" i="23" s="1"/>
  <c r="P233" i="1" l="1"/>
  <c r="AF233" i="1"/>
  <c r="P234" i="1"/>
  <c r="N243" i="2"/>
  <c r="O243" i="2" s="1"/>
  <c r="P243" i="2" s="1"/>
  <c r="M236" i="1"/>
  <c r="M237" i="1"/>
  <c r="M238" i="1"/>
  <c r="L239" i="1"/>
  <c r="M233" i="1"/>
  <c r="N233" i="1" s="1"/>
  <c r="U233" i="1" s="1"/>
  <c r="K238" i="1"/>
  <c r="L238" i="1"/>
  <c r="L244" i="2"/>
  <c r="O244" i="2"/>
  <c r="P244" i="2" s="1"/>
  <c r="L245" i="2"/>
  <c r="K244" i="2"/>
  <c r="K245" i="2"/>
  <c r="M245" i="2"/>
  <c r="M239" i="1"/>
  <c r="K237" i="1"/>
  <c r="L237" i="1"/>
  <c r="K239" i="1"/>
  <c r="K236" i="1"/>
  <c r="L236" i="1"/>
  <c r="K234" i="1"/>
  <c r="L234" i="1"/>
  <c r="M234" i="1"/>
  <c r="K235" i="1"/>
  <c r="L235" i="1"/>
  <c r="M235" i="1"/>
  <c r="E10" i="23"/>
  <c r="N244" i="2" l="1"/>
  <c r="N245" i="2"/>
  <c r="N238" i="1"/>
  <c r="N236" i="1"/>
  <c r="N235" i="1"/>
  <c r="N234" i="1"/>
  <c r="U234" i="1" s="1"/>
  <c r="N239" i="1"/>
  <c r="N237" i="1"/>
  <c r="M232" i="1"/>
  <c r="L232" i="1"/>
  <c r="K232" i="1"/>
  <c r="M231" i="1"/>
  <c r="L231" i="1"/>
  <c r="K231" i="1"/>
  <c r="M230" i="1"/>
  <c r="L230" i="1"/>
  <c r="K230" i="1"/>
  <c r="M229" i="1"/>
  <c r="L229" i="1"/>
  <c r="K229" i="1"/>
  <c r="M242" i="2"/>
  <c r="L242" i="2"/>
  <c r="K242" i="2"/>
  <c r="M241" i="2"/>
  <c r="L241" i="2"/>
  <c r="K241" i="2"/>
  <c r="M240" i="2"/>
  <c r="L240" i="2"/>
  <c r="K240" i="2"/>
  <c r="M228" i="1"/>
  <c r="L228" i="1"/>
  <c r="K228" i="1"/>
  <c r="M227" i="1"/>
  <c r="L227" i="1"/>
  <c r="K227" i="1"/>
  <c r="M226" i="1"/>
  <c r="L226" i="1"/>
  <c r="K226" i="1"/>
  <c r="O235" i="1" l="1"/>
  <c r="P235" i="1" s="1"/>
  <c r="O236" i="1"/>
  <c r="P236" i="1" s="1"/>
  <c r="O237" i="1"/>
  <c r="P237" i="1" s="1"/>
  <c r="O239" i="1"/>
  <c r="P239" i="1" s="1"/>
  <c r="O238" i="1"/>
  <c r="P238" i="1" s="1"/>
  <c r="N232" i="1"/>
  <c r="U232" i="1" s="1"/>
  <c r="N231" i="1"/>
  <c r="U231" i="1" s="1"/>
  <c r="N230" i="1"/>
  <c r="U230" i="1" s="1"/>
  <c r="N229" i="1"/>
  <c r="U229" i="1" s="1"/>
  <c r="N241" i="2"/>
  <c r="Q241" i="2" s="1"/>
  <c r="O241" i="2" s="1"/>
  <c r="P241" i="2" s="1"/>
  <c r="N242" i="2"/>
  <c r="Q242" i="2" s="1"/>
  <c r="O242" i="2" s="1"/>
  <c r="P242" i="2" s="1"/>
  <c r="N240" i="2"/>
  <c r="Q240" i="2" s="1"/>
  <c r="O240" i="2" s="1"/>
  <c r="P240" i="2" s="1"/>
  <c r="N228" i="1"/>
  <c r="U228" i="1" s="1"/>
  <c r="N226" i="1"/>
  <c r="U226" i="1" s="1"/>
  <c r="N227" i="1"/>
  <c r="U227" i="1" s="1"/>
  <c r="J225" i="1"/>
  <c r="J224" i="1"/>
  <c r="O224" i="1" l="1"/>
  <c r="AF224" i="1"/>
  <c r="O225" i="1"/>
  <c r="P225" i="1" s="1"/>
  <c r="AF225" i="1"/>
  <c r="U235" i="1"/>
  <c r="P224" i="1"/>
  <c r="U238" i="1"/>
  <c r="W238" i="1" s="1"/>
  <c r="U236" i="1"/>
  <c r="W236" i="1" s="1"/>
  <c r="U237" i="1"/>
  <c r="W237" i="1" s="1"/>
  <c r="P228" i="1"/>
  <c r="U239" i="1"/>
  <c r="W239" i="1" s="1"/>
  <c r="L225" i="1"/>
  <c r="K225" i="1"/>
  <c r="M225" i="1"/>
  <c r="L224" i="1"/>
  <c r="M224" i="1"/>
  <c r="K224" i="1"/>
  <c r="J221" i="1"/>
  <c r="J361" i="1" s="1"/>
  <c r="M223" i="1"/>
  <c r="L223" i="1"/>
  <c r="K223" i="1"/>
  <c r="M222" i="1"/>
  <c r="L222" i="1"/>
  <c r="K222" i="1"/>
  <c r="Q117" i="1"/>
  <c r="Q138" i="1"/>
  <c r="Q107" i="1"/>
  <c r="M239" i="2"/>
  <c r="L239" i="2"/>
  <c r="K239" i="2"/>
  <c r="M238" i="2"/>
  <c r="L238" i="2"/>
  <c r="K238" i="2"/>
  <c r="M237" i="2"/>
  <c r="L237" i="2"/>
  <c r="K237" i="2"/>
  <c r="M236" i="2"/>
  <c r="L236" i="2"/>
  <c r="K236" i="2"/>
  <c r="Q235" i="2"/>
  <c r="M235" i="2"/>
  <c r="L235" i="2"/>
  <c r="K235" i="2"/>
  <c r="Q217" i="1"/>
  <c r="M234" i="2"/>
  <c r="L234" i="2"/>
  <c r="K234" i="2"/>
  <c r="W234" i="1"/>
  <c r="W233" i="1"/>
  <c r="Q233" i="2"/>
  <c r="M233" i="2"/>
  <c r="L233" i="2"/>
  <c r="K233" i="2"/>
  <c r="Q208" i="1"/>
  <c r="M232" i="2"/>
  <c r="L232" i="2"/>
  <c r="K232" i="2"/>
  <c r="J231" i="2"/>
  <c r="M231" i="2" s="1"/>
  <c r="M220" i="1"/>
  <c r="K220" i="1"/>
  <c r="L220" i="1"/>
  <c r="K219" i="1"/>
  <c r="L219" i="1"/>
  <c r="M219" i="1"/>
  <c r="K218" i="1"/>
  <c r="L218" i="1"/>
  <c r="M218" i="1"/>
  <c r="J224" i="2"/>
  <c r="M224" i="2" s="1"/>
  <c r="M217" i="1"/>
  <c r="L217" i="1"/>
  <c r="K217" i="1"/>
  <c r="M230" i="2"/>
  <c r="L230" i="2"/>
  <c r="K230" i="2"/>
  <c r="M229" i="2"/>
  <c r="L229" i="2"/>
  <c r="K229" i="2"/>
  <c r="O221" i="1" l="1"/>
  <c r="P221" i="1" s="1"/>
  <c r="AF221" i="1"/>
  <c r="AG221" i="1" s="1"/>
  <c r="W228" i="1"/>
  <c r="L221" i="1"/>
  <c r="M221" i="1"/>
  <c r="N237" i="2"/>
  <c r="O237" i="2" s="1"/>
  <c r="P237" i="2" s="1"/>
  <c r="K221" i="1"/>
  <c r="N225" i="1"/>
  <c r="N222" i="1"/>
  <c r="Q222" i="1" s="1"/>
  <c r="N224" i="1"/>
  <c r="N223" i="1"/>
  <c r="Q223" i="1" s="1"/>
  <c r="N239" i="2"/>
  <c r="O239" i="2" s="1"/>
  <c r="P239" i="2" s="1"/>
  <c r="N238" i="2"/>
  <c r="O238" i="2" s="1"/>
  <c r="P238" i="2" s="1"/>
  <c r="N236" i="2"/>
  <c r="O236" i="2" s="1"/>
  <c r="P236" i="2" s="1"/>
  <c r="N229" i="2"/>
  <c r="Q229" i="2" s="1"/>
  <c r="O229" i="2" s="1"/>
  <c r="P229" i="2" s="1"/>
  <c r="N233" i="2"/>
  <c r="O233" i="2" s="1"/>
  <c r="P233" i="2" s="1"/>
  <c r="N235" i="2"/>
  <c r="O235" i="2" s="1"/>
  <c r="P235" i="2" s="1"/>
  <c r="N232" i="2"/>
  <c r="Q232" i="2" s="1"/>
  <c r="N234" i="2"/>
  <c r="O234" i="2" s="1"/>
  <c r="P234" i="2" s="1"/>
  <c r="N219" i="1"/>
  <c r="N220" i="1"/>
  <c r="N217" i="1"/>
  <c r="N218" i="1"/>
  <c r="K231" i="2"/>
  <c r="L231" i="2"/>
  <c r="K224" i="2"/>
  <c r="L224" i="2"/>
  <c r="N230" i="2"/>
  <c r="Q230" i="2" s="1"/>
  <c r="J216" i="1"/>
  <c r="AF216" i="1" s="1"/>
  <c r="AG216" i="1" s="1"/>
  <c r="J215" i="1"/>
  <c r="AF215" i="1" s="1"/>
  <c r="AG215" i="1" s="1"/>
  <c r="Q225" i="1" l="1"/>
  <c r="U222" i="1"/>
  <c r="W222" i="1" s="1"/>
  <c r="O217" i="1"/>
  <c r="P217" i="1" s="1"/>
  <c r="U224" i="1"/>
  <c r="W224" i="1" s="1"/>
  <c r="U223" i="1"/>
  <c r="W223" i="1" s="1"/>
  <c r="U225" i="1"/>
  <c r="W225" i="1" s="1"/>
  <c r="P215" i="1"/>
  <c r="N221" i="1"/>
  <c r="Q221" i="1" s="1"/>
  <c r="Q220" i="1"/>
  <c r="O220" i="1" s="1"/>
  <c r="P220" i="1" s="1"/>
  <c r="Q219" i="1"/>
  <c r="O219" i="1" s="1"/>
  <c r="P219" i="1" s="1"/>
  <c r="Q218" i="1"/>
  <c r="O218" i="1" s="1"/>
  <c r="P218" i="1" s="1"/>
  <c r="N231" i="2"/>
  <c r="Q231" i="2" s="1"/>
  <c r="O231" i="2" s="1"/>
  <c r="P231" i="2" s="1"/>
  <c r="N224" i="2"/>
  <c r="O224" i="2" s="1"/>
  <c r="P224" i="2" s="1"/>
  <c r="O232" i="2"/>
  <c r="P232" i="2" s="1"/>
  <c r="M215" i="1"/>
  <c r="K215" i="1"/>
  <c r="L215" i="1"/>
  <c r="M216" i="1"/>
  <c r="K216" i="1"/>
  <c r="L216" i="1"/>
  <c r="O230" i="2"/>
  <c r="P230" i="2" s="1"/>
  <c r="M228" i="2"/>
  <c r="L228" i="2"/>
  <c r="K228" i="2"/>
  <c r="J227" i="2"/>
  <c r="L227" i="2" s="1"/>
  <c r="M226" i="2"/>
  <c r="L226" i="2"/>
  <c r="K226" i="2"/>
  <c r="M225" i="2"/>
  <c r="L225" i="2"/>
  <c r="K225" i="2"/>
  <c r="N198" i="1"/>
  <c r="N197" i="1"/>
  <c r="N196" i="1"/>
  <c r="N195" i="1"/>
  <c r="M214" i="1"/>
  <c r="L214" i="1"/>
  <c r="K214" i="1"/>
  <c r="M212" i="1"/>
  <c r="L212" i="1"/>
  <c r="K212" i="1"/>
  <c r="M213" i="1"/>
  <c r="L213" i="1"/>
  <c r="K213" i="1"/>
  <c r="M211" i="1"/>
  <c r="L211" i="1"/>
  <c r="K211" i="1"/>
  <c r="M223" i="2"/>
  <c r="L223" i="2"/>
  <c r="K223" i="2"/>
  <c r="U217" i="1" l="1"/>
  <c r="W217" i="1" s="1"/>
  <c r="U219" i="1"/>
  <c r="W219" i="1" s="1"/>
  <c r="U218" i="1"/>
  <c r="W218" i="1" s="1"/>
  <c r="U220" i="1"/>
  <c r="W220" i="1" s="1"/>
  <c r="U197" i="1"/>
  <c r="W197" i="1" s="1"/>
  <c r="U195" i="1"/>
  <c r="W195" i="1" s="1"/>
  <c r="U198" i="1"/>
  <c r="W198" i="1" s="1"/>
  <c r="U221" i="1"/>
  <c r="W221" i="1" s="1"/>
  <c r="U196" i="1"/>
  <c r="W196" i="1" s="1"/>
  <c r="N215" i="1"/>
  <c r="N216" i="1"/>
  <c r="N228" i="2"/>
  <c r="O228" i="2" s="1"/>
  <c r="P228" i="2" s="1"/>
  <c r="N225" i="2"/>
  <c r="O225" i="2" s="1"/>
  <c r="P225" i="2" s="1"/>
  <c r="N226" i="2"/>
  <c r="O226" i="2" s="1"/>
  <c r="P226" i="2" s="1"/>
  <c r="K227" i="2"/>
  <c r="N223" i="2"/>
  <c r="O223" i="2" s="1"/>
  <c r="P223" i="2" s="1"/>
  <c r="M227" i="2"/>
  <c r="N214" i="1"/>
  <c r="N211" i="1"/>
  <c r="N213" i="1"/>
  <c r="N212" i="1"/>
  <c r="Q198" i="2"/>
  <c r="M198" i="2"/>
  <c r="L198" i="2"/>
  <c r="K198" i="2"/>
  <c r="Q158" i="1"/>
  <c r="M222" i="2"/>
  <c r="L222" i="2"/>
  <c r="K222" i="2"/>
  <c r="M221" i="2"/>
  <c r="L221" i="2"/>
  <c r="K221" i="2"/>
  <c r="M220" i="2"/>
  <c r="L220" i="2"/>
  <c r="K220" i="2"/>
  <c r="M210" i="1"/>
  <c r="L210" i="1"/>
  <c r="K210" i="1"/>
  <c r="W235" i="1"/>
  <c r="M209" i="1"/>
  <c r="L209" i="1"/>
  <c r="K209" i="1"/>
  <c r="M208" i="1"/>
  <c r="L208" i="1"/>
  <c r="K208" i="1"/>
  <c r="M207" i="1"/>
  <c r="L207" i="1"/>
  <c r="K207" i="1"/>
  <c r="U215" i="1" l="1"/>
  <c r="W215" i="1" s="1"/>
  <c r="O216" i="1"/>
  <c r="P216" i="1" s="1"/>
  <c r="N210" i="1"/>
  <c r="U210" i="1" s="1"/>
  <c r="O212" i="1"/>
  <c r="P212" i="1" s="1"/>
  <c r="O213" i="1"/>
  <c r="P213" i="1" s="1"/>
  <c r="O211" i="1"/>
  <c r="P211" i="1" s="1"/>
  <c r="O214" i="1"/>
  <c r="P214" i="1" s="1"/>
  <c r="N227" i="2"/>
  <c r="O227" i="2" s="1"/>
  <c r="P227" i="2" s="1"/>
  <c r="N222" i="2"/>
  <c r="Q222" i="2" s="1"/>
  <c r="O222" i="2" s="1"/>
  <c r="P222" i="2" s="1"/>
  <c r="N221" i="2"/>
  <c r="Q221" i="2" s="1"/>
  <c r="O221" i="2" s="1"/>
  <c r="P221" i="2" s="1"/>
  <c r="N220" i="2"/>
  <c r="Q220" i="2" s="1"/>
  <c r="O220" i="2" s="1"/>
  <c r="P220" i="2" s="1"/>
  <c r="N198" i="2"/>
  <c r="O198" i="2" s="1"/>
  <c r="P198" i="2" s="1"/>
  <c r="N208" i="1"/>
  <c r="N209" i="1"/>
  <c r="N207" i="1"/>
  <c r="P210" i="1" l="1"/>
  <c r="O208" i="1"/>
  <c r="P208" i="1" s="1"/>
  <c r="U213" i="1"/>
  <c r="W213" i="1" s="1"/>
  <c r="U216" i="1"/>
  <c r="W216" i="1" s="1"/>
  <c r="U214" i="1"/>
  <c r="W214" i="1" s="1"/>
  <c r="O209" i="1"/>
  <c r="P209" i="1" s="1"/>
  <c r="U211" i="1"/>
  <c r="W211" i="1" s="1"/>
  <c r="U212" i="1"/>
  <c r="W212" i="1" s="1"/>
  <c r="O207" i="1"/>
  <c r="P207" i="1" s="1"/>
  <c r="J208" i="2"/>
  <c r="J207" i="2"/>
  <c r="M219" i="2"/>
  <c r="L219" i="2"/>
  <c r="K219" i="2"/>
  <c r="J218" i="2"/>
  <c r="K218" i="2" s="1"/>
  <c r="M217" i="2"/>
  <c r="L217" i="2"/>
  <c r="K217" i="2"/>
  <c r="Q216" i="2"/>
  <c r="L216" i="2"/>
  <c r="K216" i="2"/>
  <c r="J216" i="2"/>
  <c r="Q190" i="1"/>
  <c r="J205" i="1"/>
  <c r="AF205" i="1" s="1"/>
  <c r="AG205" i="1" s="1"/>
  <c r="J206" i="1"/>
  <c r="AF206" i="1" s="1"/>
  <c r="AG206" i="1" s="1"/>
  <c r="W210" i="1" l="1"/>
  <c r="U209" i="1"/>
  <c r="U207" i="1"/>
  <c r="W207" i="1" s="1"/>
  <c r="U208" i="1"/>
  <c r="L205" i="1"/>
  <c r="L218" i="2"/>
  <c r="N219" i="2"/>
  <c r="Q219" i="2" s="1"/>
  <c r="O219" i="2" s="1"/>
  <c r="P219" i="2" s="1"/>
  <c r="K208" i="2"/>
  <c r="K207" i="2"/>
  <c r="L208" i="2"/>
  <c r="M208" i="2"/>
  <c r="L207" i="2"/>
  <c r="M207" i="2"/>
  <c r="M218" i="2"/>
  <c r="N217" i="2"/>
  <c r="Q217" i="2" s="1"/>
  <c r="O217" i="2" s="1"/>
  <c r="P217" i="2" s="1"/>
  <c r="M216" i="2"/>
  <c r="N216" i="2" s="1"/>
  <c r="O216" i="2" s="1"/>
  <c r="P216" i="2" s="1"/>
  <c r="M205" i="1"/>
  <c r="K205" i="1"/>
  <c r="K206" i="1"/>
  <c r="L206" i="1"/>
  <c r="M206" i="1"/>
  <c r="J204" i="1"/>
  <c r="AF204" i="1" s="1"/>
  <c r="J203" i="1"/>
  <c r="AF203" i="1" s="1"/>
  <c r="L203" i="1" l="1"/>
  <c r="K204" i="1"/>
  <c r="N218" i="2"/>
  <c r="Q218" i="2" s="1"/>
  <c r="O218" i="2" s="1"/>
  <c r="P218" i="2" s="1"/>
  <c r="N208" i="2"/>
  <c r="O208" i="2" s="1"/>
  <c r="P208" i="2" s="1"/>
  <c r="N207" i="2"/>
  <c r="O207" i="2" s="1"/>
  <c r="P207" i="2" s="1"/>
  <c r="N205" i="1"/>
  <c r="M204" i="1"/>
  <c r="L204" i="1"/>
  <c r="N206" i="1"/>
  <c r="M203" i="1"/>
  <c r="K203" i="1"/>
  <c r="K201" i="1"/>
  <c r="L201" i="1"/>
  <c r="M201" i="1"/>
  <c r="K200" i="1"/>
  <c r="L200" i="1"/>
  <c r="M200" i="1"/>
  <c r="J199" i="1"/>
  <c r="AF199" i="1" s="1"/>
  <c r="AG199" i="1" s="1"/>
  <c r="M202" i="1"/>
  <c r="L202" i="1"/>
  <c r="K202" i="1"/>
  <c r="M194" i="1"/>
  <c r="L194" i="1"/>
  <c r="K194" i="1"/>
  <c r="M193" i="1"/>
  <c r="L193" i="1"/>
  <c r="K193" i="1"/>
  <c r="M192" i="1"/>
  <c r="L192" i="1"/>
  <c r="K192" i="1"/>
  <c r="M215" i="2"/>
  <c r="L215" i="2"/>
  <c r="K215" i="2"/>
  <c r="M214" i="2"/>
  <c r="L214" i="2"/>
  <c r="K214" i="2"/>
  <c r="M213" i="2"/>
  <c r="L213" i="2"/>
  <c r="K213" i="2"/>
  <c r="M212" i="2"/>
  <c r="L212" i="2"/>
  <c r="K212" i="2"/>
  <c r="M211" i="2"/>
  <c r="L211" i="2"/>
  <c r="K211" i="2"/>
  <c r="J190" i="1"/>
  <c r="AF190" i="1" s="1"/>
  <c r="AG190" i="1" s="1"/>
  <c r="M191" i="1"/>
  <c r="L191" i="1"/>
  <c r="K191" i="1"/>
  <c r="L190" i="1"/>
  <c r="K190" i="1"/>
  <c r="M189" i="1"/>
  <c r="L189" i="1"/>
  <c r="K189" i="1"/>
  <c r="M188" i="1"/>
  <c r="L188" i="1"/>
  <c r="K188" i="1"/>
  <c r="W208" i="1"/>
  <c r="J210" i="2"/>
  <c r="M210" i="2" s="1"/>
  <c r="M209" i="2"/>
  <c r="L209" i="2"/>
  <c r="K209" i="2"/>
  <c r="M206" i="2"/>
  <c r="L206" i="2"/>
  <c r="K206" i="2"/>
  <c r="J187" i="1"/>
  <c r="AF187" i="1" s="1"/>
  <c r="J186" i="1"/>
  <c r="AF186" i="1" s="1"/>
  <c r="M205" i="2"/>
  <c r="L205" i="2"/>
  <c r="K205" i="2"/>
  <c r="M204" i="2"/>
  <c r="L204" i="2"/>
  <c r="K204" i="2"/>
  <c r="K185" i="1"/>
  <c r="L185" i="1"/>
  <c r="M185" i="1"/>
  <c r="M361" i="1" s="1"/>
  <c r="M199" i="1" l="1"/>
  <c r="M186" i="1"/>
  <c r="O186" i="1"/>
  <c r="P186" i="1" s="1"/>
  <c r="M187" i="1"/>
  <c r="O187" i="1"/>
  <c r="P187" i="1" s="1"/>
  <c r="O206" i="1"/>
  <c r="P206" i="1" s="1"/>
  <c r="O205" i="1"/>
  <c r="P205" i="1" s="1"/>
  <c r="N214" i="2"/>
  <c r="O214" i="2" s="1"/>
  <c r="P214" i="2" s="1"/>
  <c r="N212" i="2"/>
  <c r="O212" i="2" s="1"/>
  <c r="P212" i="2" s="1"/>
  <c r="N213" i="2"/>
  <c r="O213" i="2" s="1"/>
  <c r="P213" i="2" s="1"/>
  <c r="N211" i="2"/>
  <c r="O211" i="2" s="1"/>
  <c r="P211" i="2" s="1"/>
  <c r="N215" i="2"/>
  <c r="O215" i="2" s="1"/>
  <c r="P215" i="2" s="1"/>
  <c r="L210" i="2"/>
  <c r="K210" i="2"/>
  <c r="N209" i="2"/>
  <c r="O209" i="2" s="1"/>
  <c r="P209" i="2" s="1"/>
  <c r="N204" i="1"/>
  <c r="L199" i="1"/>
  <c r="K199" i="1"/>
  <c r="N203" i="1"/>
  <c r="N201" i="1"/>
  <c r="N200" i="1"/>
  <c r="N202" i="1"/>
  <c r="N189" i="1"/>
  <c r="N191" i="1"/>
  <c r="N194" i="1"/>
  <c r="N192" i="1"/>
  <c r="N193" i="1"/>
  <c r="M190" i="1"/>
  <c r="N190" i="1" s="1"/>
  <c r="N188" i="1"/>
  <c r="L186" i="1"/>
  <c r="K187" i="1"/>
  <c r="L187" i="1"/>
  <c r="K186" i="1"/>
  <c r="N205" i="2"/>
  <c r="O205" i="2" s="1"/>
  <c r="P205" i="2" s="1"/>
  <c r="N204" i="2"/>
  <c r="O204" i="2" s="1"/>
  <c r="P204" i="2" s="1"/>
  <c r="N206" i="2"/>
  <c r="O206" i="2" s="1"/>
  <c r="P206" i="2" s="1"/>
  <c r="N185" i="1"/>
  <c r="U185" i="1" l="1"/>
  <c r="N361" i="1"/>
  <c r="P185" i="1"/>
  <c r="U205" i="1"/>
  <c r="W205" i="1" s="1"/>
  <c r="U206" i="1"/>
  <c r="W206" i="1" s="1"/>
  <c r="R361" i="1"/>
  <c r="O203" i="1"/>
  <c r="P203" i="1" s="1"/>
  <c r="O204" i="1"/>
  <c r="P204" i="1" s="1"/>
  <c r="O200" i="1"/>
  <c r="P200" i="1" s="1"/>
  <c r="Q202" i="1"/>
  <c r="O202" i="1" s="1"/>
  <c r="P202" i="1" s="1"/>
  <c r="Q188" i="1"/>
  <c r="O188" i="1" s="1"/>
  <c r="U188" i="1" s="1"/>
  <c r="Q189" i="1"/>
  <c r="O189" i="1" s="1"/>
  <c r="P189" i="1" s="1"/>
  <c r="O191" i="1"/>
  <c r="P191" i="1" s="1"/>
  <c r="O201" i="1"/>
  <c r="P201" i="1" s="1"/>
  <c r="Q194" i="1"/>
  <c r="O194" i="1" s="1"/>
  <c r="U194" i="1" s="1"/>
  <c r="Q193" i="1"/>
  <c r="O193" i="1" s="1"/>
  <c r="U193" i="1" s="1"/>
  <c r="Q192" i="1"/>
  <c r="O192" i="1" s="1"/>
  <c r="U192" i="1" s="1"/>
  <c r="N210" i="2"/>
  <c r="O210" i="2" s="1"/>
  <c r="P210" i="2" s="1"/>
  <c r="O190" i="1"/>
  <c r="P190" i="1" s="1"/>
  <c r="N199" i="1"/>
  <c r="N186" i="1"/>
  <c r="N187" i="1"/>
  <c r="U186" i="1" l="1"/>
  <c r="U187" i="1"/>
  <c r="W185" i="1"/>
  <c r="U190" i="1"/>
  <c r="W190" i="1" s="1"/>
  <c r="U202" i="1"/>
  <c r="W202" i="1" s="1"/>
  <c r="U204" i="1"/>
  <c r="W204" i="1" s="1"/>
  <c r="U200" i="1"/>
  <c r="W200" i="1" s="1"/>
  <c r="U203" i="1"/>
  <c r="W203" i="1" s="1"/>
  <c r="U189" i="1"/>
  <c r="W189" i="1" s="1"/>
  <c r="U191" i="1"/>
  <c r="W191" i="1" s="1"/>
  <c r="U201" i="1"/>
  <c r="W201" i="1" s="1"/>
  <c r="Q199" i="1"/>
  <c r="O199" i="1" s="1"/>
  <c r="U199" i="1" s="1"/>
  <c r="P188" i="1"/>
  <c r="W188" i="1"/>
  <c r="P194" i="1"/>
  <c r="W194" i="1"/>
  <c r="P193" i="1"/>
  <c r="W193" i="1"/>
  <c r="P192" i="1"/>
  <c r="W192" i="1"/>
  <c r="P199" i="1" l="1"/>
  <c r="W199" i="1"/>
  <c r="M203" i="2" l="1"/>
  <c r="L203" i="2"/>
  <c r="K203" i="2"/>
  <c r="M202" i="2"/>
  <c r="L202" i="2"/>
  <c r="K202" i="2"/>
  <c r="M201" i="2"/>
  <c r="L201" i="2"/>
  <c r="K201" i="2"/>
  <c r="K184" i="1"/>
  <c r="L184" i="1"/>
  <c r="M184" i="1"/>
  <c r="K183" i="1"/>
  <c r="L183" i="1"/>
  <c r="M183" i="1"/>
  <c r="M182" i="1"/>
  <c r="L182" i="1"/>
  <c r="K182" i="1"/>
  <c r="M181" i="1"/>
  <c r="L181" i="1"/>
  <c r="K181" i="1"/>
  <c r="N201" i="2" l="1"/>
  <c r="Q201" i="2" s="1"/>
  <c r="O201" i="2" s="1"/>
  <c r="P201" i="2" s="1"/>
  <c r="N203" i="2"/>
  <c r="Q203" i="2" s="1"/>
  <c r="O203" i="2" s="1"/>
  <c r="P203" i="2" s="1"/>
  <c r="N202" i="2"/>
  <c r="N184" i="1"/>
  <c r="N183" i="1"/>
  <c r="N182" i="1"/>
  <c r="N181" i="1"/>
  <c r="K178" i="1"/>
  <c r="L178" i="1"/>
  <c r="M178" i="1"/>
  <c r="J179" i="1"/>
  <c r="AF179" i="1" s="1"/>
  <c r="AG179" i="1" s="1"/>
  <c r="M180" i="1"/>
  <c r="L180" i="1"/>
  <c r="K180" i="1"/>
  <c r="O181" i="1" l="1"/>
  <c r="P181" i="1" s="1"/>
  <c r="O183" i="1"/>
  <c r="P183" i="1" s="1"/>
  <c r="O184" i="1"/>
  <c r="P184" i="1" s="1"/>
  <c r="O182" i="1"/>
  <c r="P182" i="1" s="1"/>
  <c r="Q202" i="2"/>
  <c r="O202" i="2" s="1"/>
  <c r="P202" i="2" s="1"/>
  <c r="N178" i="1"/>
  <c r="N180" i="1"/>
  <c r="K179" i="1"/>
  <c r="L179" i="1"/>
  <c r="M179" i="1"/>
  <c r="U184" i="1" l="1"/>
  <c r="W184" i="1" s="1"/>
  <c r="U182" i="1"/>
  <c r="W182" i="1" s="1"/>
  <c r="U183" i="1"/>
  <c r="W183" i="1" s="1"/>
  <c r="U181" i="1"/>
  <c r="W181" i="1" s="1"/>
  <c r="Q180" i="1"/>
  <c r="O180" i="1" s="1"/>
  <c r="U180" i="1" s="1"/>
  <c r="Q178" i="1"/>
  <c r="O178" i="1" s="1"/>
  <c r="U178" i="1" s="1"/>
  <c r="N179" i="1"/>
  <c r="M177" i="1"/>
  <c r="L177" i="1"/>
  <c r="K177" i="1"/>
  <c r="P180" i="1" l="1"/>
  <c r="W180" i="1"/>
  <c r="P178" i="1"/>
  <c r="W178" i="1"/>
  <c r="Q179" i="1"/>
  <c r="O179" i="1" s="1"/>
  <c r="U179" i="1" s="1"/>
  <c r="N177" i="1"/>
  <c r="O177" i="1" l="1"/>
  <c r="P177" i="1" s="1"/>
  <c r="P179" i="1"/>
  <c r="W179" i="1"/>
  <c r="M176" i="1"/>
  <c r="L176" i="1"/>
  <c r="K176" i="1"/>
  <c r="M175" i="1"/>
  <c r="L175" i="1"/>
  <c r="K175" i="1"/>
  <c r="Q200" i="2"/>
  <c r="M200" i="2"/>
  <c r="L200" i="2"/>
  <c r="K200" i="2"/>
  <c r="Q162" i="1"/>
  <c r="Q199" i="2"/>
  <c r="M199" i="2"/>
  <c r="L199" i="2"/>
  <c r="K199" i="2"/>
  <c r="Q159" i="1"/>
  <c r="L197" i="2"/>
  <c r="K197" i="2"/>
  <c r="J197" i="2"/>
  <c r="M197" i="2" s="1"/>
  <c r="M174" i="1"/>
  <c r="L174" i="1"/>
  <c r="K174" i="1"/>
  <c r="M173" i="1"/>
  <c r="L173" i="1"/>
  <c r="K173" i="1"/>
  <c r="M172" i="1"/>
  <c r="L172" i="1"/>
  <c r="K172" i="1"/>
  <c r="M196" i="2"/>
  <c r="L196" i="2"/>
  <c r="K196" i="2"/>
  <c r="M195" i="2"/>
  <c r="L195" i="2"/>
  <c r="K195" i="2"/>
  <c r="M194" i="2"/>
  <c r="L194" i="2"/>
  <c r="K194" i="2"/>
  <c r="Q193" i="2"/>
  <c r="M193" i="2"/>
  <c r="L193" i="2"/>
  <c r="K193" i="2"/>
  <c r="Q161" i="1"/>
  <c r="O192" i="2"/>
  <c r="P192" i="2" s="1"/>
  <c r="M192" i="2"/>
  <c r="L192" i="2"/>
  <c r="K192" i="2"/>
  <c r="O99" i="1"/>
  <c r="P99" i="1" s="1"/>
  <c r="J170" i="1"/>
  <c r="AF170" i="1" s="1"/>
  <c r="AG170" i="1" s="1"/>
  <c r="K171" i="1"/>
  <c r="L171" i="1"/>
  <c r="M171" i="1"/>
  <c r="U177" i="1" l="1"/>
  <c r="W177" i="1" s="1"/>
  <c r="N199" i="2"/>
  <c r="O199" i="2" s="1"/>
  <c r="P199" i="2" s="1"/>
  <c r="N196" i="2"/>
  <c r="O196" i="2" s="1"/>
  <c r="P196" i="2" s="1"/>
  <c r="N192" i="2"/>
  <c r="N200" i="2"/>
  <c r="O200" i="2" s="1"/>
  <c r="P200" i="2" s="1"/>
  <c r="N176" i="1"/>
  <c r="N175" i="1"/>
  <c r="N172" i="1"/>
  <c r="N194" i="2"/>
  <c r="O194" i="2" s="1"/>
  <c r="P194" i="2" s="1"/>
  <c r="N195" i="2"/>
  <c r="O195" i="2" s="1"/>
  <c r="P195" i="2" s="1"/>
  <c r="N193" i="2"/>
  <c r="O193" i="2" s="1"/>
  <c r="P193" i="2" s="1"/>
  <c r="N197" i="2"/>
  <c r="O197" i="2" s="1"/>
  <c r="P197" i="2" s="1"/>
  <c r="N174" i="1"/>
  <c r="N173" i="1"/>
  <c r="N171" i="1"/>
  <c r="M170" i="1"/>
  <c r="L170" i="1"/>
  <c r="K170" i="1"/>
  <c r="J169" i="1"/>
  <c r="AF169" i="1" s="1"/>
  <c r="AG169" i="1" s="1"/>
  <c r="J168" i="1"/>
  <c r="AF168" i="1" s="1"/>
  <c r="AG168" i="1" s="1"/>
  <c r="O171" i="1" l="1"/>
  <c r="P171" i="1" s="1"/>
  <c r="O175" i="1"/>
  <c r="P175" i="1" s="1"/>
  <c r="O176" i="1"/>
  <c r="P176" i="1" s="1"/>
  <c r="M169" i="1"/>
  <c r="L168" i="1"/>
  <c r="Q173" i="1"/>
  <c r="O173" i="1" s="1"/>
  <c r="P173" i="1" s="1"/>
  <c r="Q174" i="1"/>
  <c r="O174" i="1" s="1"/>
  <c r="P174" i="1" s="1"/>
  <c r="Q172" i="1"/>
  <c r="O172" i="1" s="1"/>
  <c r="U172" i="1" s="1"/>
  <c r="K169" i="1"/>
  <c r="L169" i="1"/>
  <c r="M168" i="1"/>
  <c r="K168" i="1"/>
  <c r="N170" i="1"/>
  <c r="J191" i="2"/>
  <c r="J190" i="2"/>
  <c r="M190" i="2" s="1"/>
  <c r="Q156" i="2"/>
  <c r="O156" i="2"/>
  <c r="P156" i="2" s="1"/>
  <c r="M156" i="2"/>
  <c r="L156" i="2"/>
  <c r="K156" i="2"/>
  <c r="Q145" i="1"/>
  <c r="M167" i="1"/>
  <c r="L167" i="1"/>
  <c r="K167" i="1"/>
  <c r="O173" i="2"/>
  <c r="P173" i="2" s="1"/>
  <c r="M173" i="2"/>
  <c r="L173" i="2"/>
  <c r="K173" i="2"/>
  <c r="Q180" i="2"/>
  <c r="O180" i="2"/>
  <c r="P180" i="2" s="1"/>
  <c r="M180" i="2"/>
  <c r="L180" i="2"/>
  <c r="K180" i="2"/>
  <c r="Q175" i="2"/>
  <c r="O175" i="2"/>
  <c r="P175" i="2" s="1"/>
  <c r="M175" i="2"/>
  <c r="L175" i="2"/>
  <c r="K175" i="2"/>
  <c r="O171" i="2"/>
  <c r="P171" i="2" s="1"/>
  <c r="M171" i="2"/>
  <c r="L171" i="2"/>
  <c r="K171" i="2"/>
  <c r="Q139" i="1"/>
  <c r="Q128" i="1"/>
  <c r="Q179" i="2"/>
  <c r="O179" i="2"/>
  <c r="P179" i="2" s="1"/>
  <c r="M179" i="2"/>
  <c r="L179" i="2"/>
  <c r="K179" i="2"/>
  <c r="Q140" i="1"/>
  <c r="M187" i="2"/>
  <c r="L187" i="2"/>
  <c r="K187" i="2"/>
  <c r="J186" i="2"/>
  <c r="O185" i="2"/>
  <c r="P185" i="2" s="1"/>
  <c r="M185" i="2"/>
  <c r="L185" i="2"/>
  <c r="K185" i="2"/>
  <c r="O184" i="2"/>
  <c r="P184" i="2" s="1"/>
  <c r="M184" i="2"/>
  <c r="L184" i="2"/>
  <c r="K184" i="2"/>
  <c r="O183" i="2"/>
  <c r="P183" i="2" s="1"/>
  <c r="M183" i="2"/>
  <c r="L183" i="2"/>
  <c r="K183" i="2"/>
  <c r="O182" i="2"/>
  <c r="P182" i="2" s="1"/>
  <c r="M182" i="2"/>
  <c r="L182" i="2"/>
  <c r="K182" i="2"/>
  <c r="O156" i="1"/>
  <c r="P156" i="1" s="1"/>
  <c r="O155" i="1"/>
  <c r="P155" i="1" s="1"/>
  <c r="O154" i="1"/>
  <c r="P154" i="1" s="1"/>
  <c r="O153" i="1"/>
  <c r="P153" i="1" s="1"/>
  <c r="J165" i="1"/>
  <c r="AF165" i="1" s="1"/>
  <c r="AG165" i="1" s="1"/>
  <c r="M166" i="1"/>
  <c r="L166" i="1"/>
  <c r="K166" i="1"/>
  <c r="M181" i="2"/>
  <c r="L181" i="2"/>
  <c r="K181" i="2"/>
  <c r="O139" i="1"/>
  <c r="P139" i="1" s="1"/>
  <c r="M163" i="1"/>
  <c r="L163" i="1"/>
  <c r="K163" i="1"/>
  <c r="M162" i="1"/>
  <c r="L162" i="1"/>
  <c r="K162" i="1"/>
  <c r="M161" i="1"/>
  <c r="L161" i="1"/>
  <c r="K161" i="1"/>
  <c r="M164" i="1"/>
  <c r="L164" i="1"/>
  <c r="K164" i="1"/>
  <c r="O140" i="1"/>
  <c r="P140" i="1" s="1"/>
  <c r="M160" i="1"/>
  <c r="L160" i="1"/>
  <c r="K160" i="1"/>
  <c r="U176" i="1" l="1"/>
  <c r="W176" i="1" s="1"/>
  <c r="U175" i="1"/>
  <c r="W175" i="1" s="1"/>
  <c r="U171" i="1"/>
  <c r="O170" i="1"/>
  <c r="P170" i="1" s="1"/>
  <c r="U174" i="1"/>
  <c r="W174" i="1" s="1"/>
  <c r="U173" i="1"/>
  <c r="W173" i="1" s="1"/>
  <c r="M165" i="1"/>
  <c r="P172" i="1"/>
  <c r="N169" i="1"/>
  <c r="N168" i="1"/>
  <c r="N156" i="2"/>
  <c r="U156" i="2" s="1"/>
  <c r="K190" i="2"/>
  <c r="L190" i="2"/>
  <c r="K191" i="2"/>
  <c r="L191" i="2"/>
  <c r="M191" i="2"/>
  <c r="N167" i="1"/>
  <c r="N187" i="2"/>
  <c r="Q187" i="2" s="1"/>
  <c r="O187" i="2" s="1"/>
  <c r="P187" i="2" s="1"/>
  <c r="N175" i="2"/>
  <c r="U175" i="2" s="1"/>
  <c r="N179" i="2"/>
  <c r="U179" i="2" s="1"/>
  <c r="N171" i="2"/>
  <c r="Q171" i="2" s="1"/>
  <c r="U171" i="2" s="1"/>
  <c r="N173" i="2"/>
  <c r="Q173" i="2" s="1"/>
  <c r="U173" i="2" s="1"/>
  <c r="N180" i="2"/>
  <c r="U180" i="2" s="1"/>
  <c r="K186" i="2"/>
  <c r="L186" i="2"/>
  <c r="M186" i="2"/>
  <c r="N182" i="2"/>
  <c r="Q182" i="2" s="1"/>
  <c r="N184" i="2"/>
  <c r="Q184" i="2" s="1"/>
  <c r="N185" i="2"/>
  <c r="Q185" i="2" s="1"/>
  <c r="N183" i="2"/>
  <c r="Q183" i="2" s="1"/>
  <c r="N181" i="2"/>
  <c r="O181" i="2" s="1"/>
  <c r="P181" i="2" s="1"/>
  <c r="N166" i="1"/>
  <c r="K165" i="1"/>
  <c r="L165" i="1"/>
  <c r="N163" i="1"/>
  <c r="N164" i="1"/>
  <c r="N161" i="1"/>
  <c r="N162" i="1"/>
  <c r="N160" i="1"/>
  <c r="U170" i="1" l="1"/>
  <c r="W170" i="1" s="1"/>
  <c r="O163" i="1"/>
  <c r="P163" i="1" s="1"/>
  <c r="O169" i="1"/>
  <c r="P169" i="1" s="1"/>
  <c r="O162" i="1"/>
  <c r="P162" i="1" s="1"/>
  <c r="O161" i="1"/>
  <c r="P161" i="1" s="1"/>
  <c r="O167" i="1"/>
  <c r="P167" i="1" s="1"/>
  <c r="O168" i="1"/>
  <c r="P168" i="1" s="1"/>
  <c r="O160" i="1"/>
  <c r="P160" i="1" s="1"/>
  <c r="O166" i="1"/>
  <c r="P166" i="1" s="1"/>
  <c r="N190" i="2"/>
  <c r="O190" i="2" s="1"/>
  <c r="P190" i="2" s="1"/>
  <c r="O164" i="1"/>
  <c r="P164" i="1" s="1"/>
  <c r="N191" i="2"/>
  <c r="O191" i="2" s="1"/>
  <c r="P191" i="2" s="1"/>
  <c r="N186" i="2"/>
  <c r="Q186" i="2" s="1"/>
  <c r="O186" i="2" s="1"/>
  <c r="P186" i="2" s="1"/>
  <c r="N165" i="1"/>
  <c r="W209" i="1"/>
  <c r="W172" i="1"/>
  <c r="W171" i="1"/>
  <c r="M159" i="1"/>
  <c r="L159" i="1"/>
  <c r="K159" i="1"/>
  <c r="M158" i="1"/>
  <c r="L158" i="1"/>
  <c r="K158" i="1"/>
  <c r="M157" i="1"/>
  <c r="L157" i="1"/>
  <c r="K157" i="1"/>
  <c r="O178" i="2"/>
  <c r="P178" i="2" s="1"/>
  <c r="M178" i="2"/>
  <c r="L178" i="2"/>
  <c r="K178" i="2"/>
  <c r="O127" i="1"/>
  <c r="P127" i="1" s="1"/>
  <c r="Q177" i="2"/>
  <c r="M177" i="2"/>
  <c r="L177" i="2"/>
  <c r="K177" i="2"/>
  <c r="Q176" i="2"/>
  <c r="M176" i="2"/>
  <c r="L176" i="2"/>
  <c r="K176" i="2"/>
  <c r="Q146" i="1"/>
  <c r="Q144" i="1"/>
  <c r="O128" i="1"/>
  <c r="P128" i="1" s="1"/>
  <c r="M156" i="1"/>
  <c r="L156" i="1"/>
  <c r="K156" i="1"/>
  <c r="M155" i="1"/>
  <c r="L155" i="1"/>
  <c r="K155" i="1"/>
  <c r="M154" i="1"/>
  <c r="L154" i="1"/>
  <c r="K154" i="1"/>
  <c r="M153" i="1"/>
  <c r="L153" i="1"/>
  <c r="K153" i="1"/>
  <c r="Q169" i="2"/>
  <c r="O169" i="2"/>
  <c r="P169" i="2" s="1"/>
  <c r="M169" i="2"/>
  <c r="L169" i="2"/>
  <c r="K169" i="2"/>
  <c r="Q168" i="2"/>
  <c r="O168" i="2"/>
  <c r="P168" i="2" s="1"/>
  <c r="M168" i="2"/>
  <c r="L168" i="2"/>
  <c r="K168" i="2"/>
  <c r="Q144" i="2"/>
  <c r="O144" i="2"/>
  <c r="P144" i="2" s="1"/>
  <c r="M144" i="2"/>
  <c r="L144" i="2"/>
  <c r="K144" i="2"/>
  <c r="Q174" i="2"/>
  <c r="O174" i="2"/>
  <c r="P174" i="2" s="1"/>
  <c r="M174" i="2"/>
  <c r="L174" i="2"/>
  <c r="K174" i="2"/>
  <c r="Q160" i="2"/>
  <c r="O160" i="2"/>
  <c r="P160" i="2" s="1"/>
  <c r="M160" i="2"/>
  <c r="L160" i="2"/>
  <c r="K160" i="2"/>
  <c r="Q159" i="2"/>
  <c r="O159" i="2"/>
  <c r="P159" i="2" s="1"/>
  <c r="M159" i="2"/>
  <c r="L159" i="2"/>
  <c r="K159" i="2"/>
  <c r="Q149" i="1"/>
  <c r="O149" i="1"/>
  <c r="P149" i="1" s="1"/>
  <c r="Q137" i="1"/>
  <c r="Q122" i="1"/>
  <c r="O172" i="2"/>
  <c r="P172" i="2" s="1"/>
  <c r="M172" i="2"/>
  <c r="L172" i="2"/>
  <c r="K172" i="2"/>
  <c r="O148" i="1"/>
  <c r="O147" i="1"/>
  <c r="P147" i="1" s="1"/>
  <c r="O110" i="1"/>
  <c r="P110" i="1" s="1"/>
  <c r="O165" i="2"/>
  <c r="P165" i="2" s="1"/>
  <c r="M165" i="2"/>
  <c r="L165" i="2"/>
  <c r="K165" i="2"/>
  <c r="O164" i="2"/>
  <c r="P164" i="2" s="1"/>
  <c r="M164" i="2"/>
  <c r="L164" i="2"/>
  <c r="K164" i="2"/>
  <c r="O163" i="2"/>
  <c r="P163" i="2" s="1"/>
  <c r="M163" i="2"/>
  <c r="L163" i="2"/>
  <c r="K163" i="2"/>
  <c r="O162" i="2"/>
  <c r="P162" i="2" s="1"/>
  <c r="M162" i="2"/>
  <c r="L162" i="2"/>
  <c r="K162" i="2"/>
  <c r="O161" i="2"/>
  <c r="P161" i="2" s="1"/>
  <c r="M161" i="2"/>
  <c r="L161" i="2"/>
  <c r="K161" i="2"/>
  <c r="M170" i="2"/>
  <c r="L170" i="2"/>
  <c r="K170" i="2"/>
  <c r="J152" i="1"/>
  <c r="AF152" i="1" s="1"/>
  <c r="AG152" i="1" s="1"/>
  <c r="J151" i="1"/>
  <c r="AF151" i="1" s="1"/>
  <c r="AG151" i="1" s="1"/>
  <c r="O92" i="1"/>
  <c r="Q36" i="1"/>
  <c r="Q92" i="1"/>
  <c r="O107" i="1"/>
  <c r="P107" i="1" s="1"/>
  <c r="O138" i="1"/>
  <c r="P138" i="1" s="1"/>
  <c r="M167" i="2"/>
  <c r="L167" i="2"/>
  <c r="K167" i="2"/>
  <c r="Q166" i="2"/>
  <c r="M166" i="2"/>
  <c r="L166" i="2"/>
  <c r="K166" i="2"/>
  <c r="Q125" i="1"/>
  <c r="O108" i="1"/>
  <c r="P108" i="1" s="1"/>
  <c r="O115" i="1"/>
  <c r="P115" i="1" s="1"/>
  <c r="O118" i="1"/>
  <c r="P118" i="1" s="1"/>
  <c r="O120" i="1"/>
  <c r="P120" i="1" s="1"/>
  <c r="O136" i="1"/>
  <c r="P136" i="1" s="1"/>
  <c r="U167" i="1" l="1"/>
  <c r="W167" i="1" s="1"/>
  <c r="U161" i="1"/>
  <c r="W161" i="1" s="1"/>
  <c r="U162" i="1"/>
  <c r="W162" i="1" s="1"/>
  <c r="U169" i="1"/>
  <c r="W169" i="1" s="1"/>
  <c r="U160" i="1"/>
  <c r="W160" i="1" s="1"/>
  <c r="U163" i="1"/>
  <c r="W163" i="1" s="1"/>
  <c r="U168" i="1"/>
  <c r="W168" i="1" s="1"/>
  <c r="U166" i="1"/>
  <c r="W166" i="1" s="1"/>
  <c r="U164" i="1"/>
  <c r="W164" i="1" s="1"/>
  <c r="O165" i="1"/>
  <c r="P165" i="1" s="1"/>
  <c r="L151" i="1"/>
  <c r="M152" i="1"/>
  <c r="N178" i="2"/>
  <c r="N177" i="2"/>
  <c r="O177" i="2" s="1"/>
  <c r="P177" i="2" s="1"/>
  <c r="N158" i="1"/>
  <c r="N159" i="1"/>
  <c r="N157" i="1"/>
  <c r="N159" i="2"/>
  <c r="U159" i="2" s="1"/>
  <c r="N161" i="2"/>
  <c r="Q161" i="2" s="1"/>
  <c r="U161" i="2" s="1"/>
  <c r="N163" i="2"/>
  <c r="Q163" i="2" s="1"/>
  <c r="U163" i="2" s="1"/>
  <c r="N165" i="2"/>
  <c r="Q165" i="2" s="1"/>
  <c r="U165" i="2" s="1"/>
  <c r="N174" i="2"/>
  <c r="U174" i="2" s="1"/>
  <c r="N176" i="2"/>
  <c r="O176" i="2" s="1"/>
  <c r="P176" i="2" s="1"/>
  <c r="N144" i="2"/>
  <c r="U144" i="2" s="1"/>
  <c r="N160" i="2"/>
  <c r="U160" i="2" s="1"/>
  <c r="N169" i="2"/>
  <c r="U169" i="2" s="1"/>
  <c r="N156" i="1"/>
  <c r="N154" i="1"/>
  <c r="N155" i="1"/>
  <c r="N153" i="1"/>
  <c r="K151" i="1"/>
  <c r="N172" i="2"/>
  <c r="Q172" i="2" s="1"/>
  <c r="U172" i="2" s="1"/>
  <c r="N168" i="2"/>
  <c r="U168" i="2" s="1"/>
  <c r="N164" i="2"/>
  <c r="Q164" i="2" s="1"/>
  <c r="U164" i="2" s="1"/>
  <c r="N170" i="2"/>
  <c r="N162" i="2"/>
  <c r="Q162" i="2" s="1"/>
  <c r="U162" i="2" s="1"/>
  <c r="P148" i="1"/>
  <c r="M151" i="1"/>
  <c r="K152" i="1"/>
  <c r="L152" i="1"/>
  <c r="N166" i="2"/>
  <c r="O166" i="2" s="1"/>
  <c r="P166" i="2" s="1"/>
  <c r="N167" i="2"/>
  <c r="O167" i="2" s="1"/>
  <c r="P167" i="2" s="1"/>
  <c r="U209" i="2"/>
  <c r="U165" i="1" l="1"/>
  <c r="W165" i="1" s="1"/>
  <c r="O159" i="1"/>
  <c r="P159" i="1" s="1"/>
  <c r="O158" i="1"/>
  <c r="P158" i="1" s="1"/>
  <c r="Q153" i="1"/>
  <c r="Q155" i="1"/>
  <c r="Q154" i="1"/>
  <c r="Q156" i="1"/>
  <c r="O157" i="1"/>
  <c r="P157" i="1" s="1"/>
  <c r="N151" i="1"/>
  <c r="O170" i="2"/>
  <c r="P170" i="2" s="1"/>
  <c r="U166" i="2"/>
  <c r="N152" i="1"/>
  <c r="U167" i="2"/>
  <c r="O122" i="1"/>
  <c r="P122" i="1" s="1"/>
  <c r="O137" i="1"/>
  <c r="P137" i="1" s="1"/>
  <c r="J158" i="2"/>
  <c r="O158" i="2" s="1"/>
  <c r="P158" i="2" s="1"/>
  <c r="J157" i="2"/>
  <c r="M157" i="2" s="1"/>
  <c r="U157" i="1" l="1"/>
  <c r="W157" i="1" s="1"/>
  <c r="U154" i="1"/>
  <c r="W154" i="1" s="1"/>
  <c r="U153" i="1"/>
  <c r="W153" i="1" s="1"/>
  <c r="U156" i="1"/>
  <c r="W156" i="1" s="1"/>
  <c r="U155" i="1"/>
  <c r="W155" i="1" s="1"/>
  <c r="U158" i="1"/>
  <c r="W158" i="1" s="1"/>
  <c r="U159" i="1"/>
  <c r="W159" i="1" s="1"/>
  <c r="O151" i="1"/>
  <c r="P151" i="1" s="1"/>
  <c r="O152" i="1"/>
  <c r="P152" i="1" s="1"/>
  <c r="U170" i="2"/>
  <c r="O157" i="2"/>
  <c r="P157" i="2" s="1"/>
  <c r="K158" i="2"/>
  <c r="M158" i="2"/>
  <c r="K157" i="2"/>
  <c r="L158" i="2"/>
  <c r="L157" i="2"/>
  <c r="U152" i="1" l="1"/>
  <c r="W152" i="1" s="1"/>
  <c r="U151" i="1"/>
  <c r="W151" i="1" s="1"/>
  <c r="N158" i="2"/>
  <c r="N157" i="2"/>
  <c r="AD359" i="1" l="1"/>
  <c r="Q102" i="2" l="1"/>
  <c r="O102" i="2"/>
  <c r="P102" i="2" s="1"/>
  <c r="M102" i="2"/>
  <c r="L102" i="2"/>
  <c r="K102" i="2"/>
  <c r="Q57" i="2"/>
  <c r="P57" i="2"/>
  <c r="M57" i="2"/>
  <c r="L57" i="2"/>
  <c r="K57" i="2"/>
  <c r="O145" i="1"/>
  <c r="P145" i="1" s="1"/>
  <c r="Q152" i="2"/>
  <c r="O152" i="2"/>
  <c r="P152" i="2" s="1"/>
  <c r="M152" i="2"/>
  <c r="L152" i="2"/>
  <c r="K152" i="2"/>
  <c r="Q119" i="1"/>
  <c r="O155" i="2"/>
  <c r="P155" i="2" s="1"/>
  <c r="M155" i="2"/>
  <c r="L155" i="2"/>
  <c r="K155" i="2"/>
  <c r="O154" i="2"/>
  <c r="P154" i="2" s="1"/>
  <c r="M154" i="2"/>
  <c r="L154" i="2"/>
  <c r="K154" i="2"/>
  <c r="O78" i="1"/>
  <c r="P78" i="1" s="1"/>
  <c r="O79" i="1"/>
  <c r="P79" i="1" s="1"/>
  <c r="N102" i="2" l="1"/>
  <c r="U102" i="2" s="1"/>
  <c r="N57" i="2"/>
  <c r="U57" i="2" s="1"/>
  <c r="N152" i="2"/>
  <c r="U152" i="2" s="1"/>
  <c r="N155" i="2"/>
  <c r="Q155" i="2" s="1"/>
  <c r="N154" i="2"/>
  <c r="Q154" i="2" s="1"/>
  <c r="M153" i="2"/>
  <c r="L153" i="2"/>
  <c r="K153" i="2"/>
  <c r="K62" i="2"/>
  <c r="L63" i="2"/>
  <c r="N63" i="2" s="1"/>
  <c r="L62" i="2"/>
  <c r="N64" i="2"/>
  <c r="Q64" i="2" s="1"/>
  <c r="O61" i="2"/>
  <c r="P61" i="2" s="1"/>
  <c r="M61" i="2"/>
  <c r="L61" i="2"/>
  <c r="K61" i="2"/>
  <c r="J60" i="2"/>
  <c r="O60" i="2" s="1"/>
  <c r="P60" i="2" s="1"/>
  <c r="N61" i="2" l="1"/>
  <c r="Q61" i="2" s="1"/>
  <c r="U61" i="2" s="1"/>
  <c r="N153" i="2"/>
  <c r="O153" i="2" s="1"/>
  <c r="P153" i="2" s="1"/>
  <c r="N62" i="2"/>
  <c r="Q62" i="2" s="1"/>
  <c r="L60" i="2"/>
  <c r="M60" i="2"/>
  <c r="K60" i="2"/>
  <c r="N60" i="2" l="1"/>
  <c r="Q60" i="2" s="1"/>
  <c r="U60" i="2" s="1"/>
  <c r="M150" i="1" l="1"/>
  <c r="L150" i="1"/>
  <c r="K150" i="1"/>
  <c r="M149" i="1"/>
  <c r="M148" i="1"/>
  <c r="L149" i="1"/>
  <c r="L148" i="1"/>
  <c r="K149" i="1"/>
  <c r="K148" i="1"/>
  <c r="O119" i="1"/>
  <c r="P119" i="1" s="1"/>
  <c r="O151" i="2"/>
  <c r="P151" i="2" s="1"/>
  <c r="M151" i="2"/>
  <c r="L151" i="2"/>
  <c r="K151" i="2"/>
  <c r="O129" i="1"/>
  <c r="P129" i="1" s="1"/>
  <c r="O150" i="2"/>
  <c r="P150" i="2" s="1"/>
  <c r="M150" i="2"/>
  <c r="L150" i="2"/>
  <c r="K150" i="2"/>
  <c r="O149" i="2"/>
  <c r="P149" i="2" s="1"/>
  <c r="M149" i="2"/>
  <c r="L149" i="2"/>
  <c r="K149" i="2"/>
  <c r="O148" i="2"/>
  <c r="P148" i="2" s="1"/>
  <c r="M148" i="2"/>
  <c r="L148" i="2"/>
  <c r="K148" i="2"/>
  <c r="O132" i="1"/>
  <c r="P132" i="1" s="1"/>
  <c r="O131" i="1"/>
  <c r="P131" i="1" s="1"/>
  <c r="O130" i="1"/>
  <c r="P130" i="1" s="1"/>
  <c r="M147" i="1"/>
  <c r="L147" i="1"/>
  <c r="K147" i="1"/>
  <c r="M147" i="2"/>
  <c r="L147" i="2"/>
  <c r="K147" i="2"/>
  <c r="Q146" i="2"/>
  <c r="M146" i="2"/>
  <c r="L146" i="2"/>
  <c r="K146" i="2"/>
  <c r="Q133" i="1"/>
  <c r="Q145" i="2"/>
  <c r="M145" i="2"/>
  <c r="L145" i="2"/>
  <c r="K145" i="2"/>
  <c r="Q135" i="1"/>
  <c r="M146" i="1"/>
  <c r="L146" i="1"/>
  <c r="K146" i="1"/>
  <c r="M145" i="1"/>
  <c r="L145" i="1"/>
  <c r="K145" i="1"/>
  <c r="M144" i="1"/>
  <c r="L144" i="1"/>
  <c r="K144" i="1"/>
  <c r="O117" i="1"/>
  <c r="P117" i="1" s="1"/>
  <c r="J143" i="1"/>
  <c r="AF143" i="1" s="1"/>
  <c r="AG143" i="1" s="1"/>
  <c r="M142" i="1"/>
  <c r="L142" i="1"/>
  <c r="K142" i="1"/>
  <c r="J141" i="1"/>
  <c r="AF141" i="1" s="1"/>
  <c r="AG141" i="1" s="1"/>
  <c r="O143" i="2"/>
  <c r="P143" i="2" s="1"/>
  <c r="M143" i="2"/>
  <c r="L143" i="2"/>
  <c r="K143" i="2"/>
  <c r="O142" i="2"/>
  <c r="P142" i="2" s="1"/>
  <c r="M142" i="2"/>
  <c r="L142" i="2"/>
  <c r="K142" i="2"/>
  <c r="O141" i="2"/>
  <c r="P141" i="2" s="1"/>
  <c r="M141" i="2"/>
  <c r="L141" i="2"/>
  <c r="K141" i="2"/>
  <c r="Q140" i="2"/>
  <c r="O140" i="2"/>
  <c r="P140" i="2" s="1"/>
  <c r="M140" i="2"/>
  <c r="L140" i="2"/>
  <c r="K140" i="2"/>
  <c r="Q139" i="2"/>
  <c r="O139" i="2"/>
  <c r="P139" i="2" s="1"/>
  <c r="M139" i="2"/>
  <c r="L139" i="2"/>
  <c r="K139" i="2"/>
  <c r="Q95" i="2"/>
  <c r="O95" i="2"/>
  <c r="P95" i="2" s="1"/>
  <c r="M95" i="2"/>
  <c r="L95" i="2"/>
  <c r="K95" i="2"/>
  <c r="Q124" i="1"/>
  <c r="Q105" i="1"/>
  <c r="Q69" i="1"/>
  <c r="O123" i="1"/>
  <c r="P123" i="1" s="1"/>
  <c r="O109" i="1"/>
  <c r="P109" i="1" s="1"/>
  <c r="L143" i="1" l="1"/>
  <c r="N147" i="2"/>
  <c r="O147" i="2" s="1"/>
  <c r="P147" i="2" s="1"/>
  <c r="N151" i="2"/>
  <c r="Q151" i="2" s="1"/>
  <c r="N150" i="1"/>
  <c r="N148" i="1"/>
  <c r="N149" i="1"/>
  <c r="U149" i="1" s="1"/>
  <c r="N139" i="2"/>
  <c r="U139" i="2" s="1"/>
  <c r="N146" i="2"/>
  <c r="O146" i="2" s="1"/>
  <c r="P146" i="2" s="1"/>
  <c r="N150" i="2"/>
  <c r="Q150" i="2" s="1"/>
  <c r="N141" i="2"/>
  <c r="N143" i="2"/>
  <c r="Q143" i="2" s="1"/>
  <c r="U143" i="2" s="1"/>
  <c r="N95" i="2"/>
  <c r="U95" i="2" s="1"/>
  <c r="N145" i="2"/>
  <c r="O145" i="2" s="1"/>
  <c r="P145" i="2" s="1"/>
  <c r="N148" i="2"/>
  <c r="Q148" i="2" s="1"/>
  <c r="N140" i="2"/>
  <c r="U140" i="2" s="1"/>
  <c r="N142" i="2"/>
  <c r="N149" i="2"/>
  <c r="Q149" i="2" s="1"/>
  <c r="N147" i="1"/>
  <c r="N144" i="1"/>
  <c r="N146" i="1"/>
  <c r="N145" i="1"/>
  <c r="U145" i="1" s="1"/>
  <c r="N142" i="1"/>
  <c r="M143" i="1"/>
  <c r="K143" i="1"/>
  <c r="K141" i="1"/>
  <c r="L141" i="1"/>
  <c r="M141" i="1"/>
  <c r="O101" i="1"/>
  <c r="P101" i="1" s="1"/>
  <c r="Q136" i="2"/>
  <c r="O136" i="2"/>
  <c r="P136" i="2" s="1"/>
  <c r="M136" i="2"/>
  <c r="L136" i="2"/>
  <c r="K136" i="2"/>
  <c r="Q135" i="2"/>
  <c r="O135" i="2"/>
  <c r="P135" i="2" s="1"/>
  <c r="M135" i="2"/>
  <c r="L135" i="2"/>
  <c r="K135" i="2"/>
  <c r="Q134" i="2"/>
  <c r="O134" i="2"/>
  <c r="P134" i="2" s="1"/>
  <c r="M134" i="2"/>
  <c r="L134" i="2"/>
  <c r="K134" i="2"/>
  <c r="Q129" i="2"/>
  <c r="O129" i="2"/>
  <c r="P129" i="2" s="1"/>
  <c r="M129" i="2"/>
  <c r="L129" i="2"/>
  <c r="K129" i="2"/>
  <c r="Q121" i="1"/>
  <c r="Q116" i="1"/>
  <c r="Q106" i="1"/>
  <c r="Q102" i="1"/>
  <c r="M140" i="1"/>
  <c r="L140" i="1"/>
  <c r="K140" i="1"/>
  <c r="M139" i="1"/>
  <c r="L139" i="1"/>
  <c r="K139" i="1"/>
  <c r="Q148" i="1" l="1"/>
  <c r="U148" i="1" s="1"/>
  <c r="W148" i="1" s="1"/>
  <c r="Q147" i="1"/>
  <c r="U147" i="1" s="1"/>
  <c r="W147" i="1" s="1"/>
  <c r="Q142" i="1"/>
  <c r="O142" i="1" s="1"/>
  <c r="U142" i="1" s="1"/>
  <c r="O144" i="1"/>
  <c r="P144" i="1" s="1"/>
  <c r="O146" i="1"/>
  <c r="P146" i="1" s="1"/>
  <c r="O150" i="1"/>
  <c r="P150" i="1" s="1"/>
  <c r="N134" i="2"/>
  <c r="U134" i="2" s="1"/>
  <c r="N129" i="2"/>
  <c r="U129" i="2" s="1"/>
  <c r="N136" i="2"/>
  <c r="U136" i="2" s="1"/>
  <c r="Q141" i="2"/>
  <c r="U141" i="2" s="1"/>
  <c r="N135" i="2"/>
  <c r="U135" i="2" s="1"/>
  <c r="Q142" i="2"/>
  <c r="U142" i="2" s="1"/>
  <c r="N141" i="1"/>
  <c r="N143" i="1"/>
  <c r="N140" i="1"/>
  <c r="U140" i="1" s="1"/>
  <c r="N139" i="1"/>
  <c r="U139" i="1" s="1"/>
  <c r="Q137" i="2"/>
  <c r="O138" i="2"/>
  <c r="P138" i="2" s="1"/>
  <c r="M138" i="2"/>
  <c r="L138" i="2"/>
  <c r="K138" i="2"/>
  <c r="O104" i="1"/>
  <c r="P104" i="1" s="1"/>
  <c r="Q103" i="1"/>
  <c r="O124" i="1"/>
  <c r="P124" i="1" s="1"/>
  <c r="O105" i="1"/>
  <c r="P105" i="1" s="1"/>
  <c r="O137" i="2"/>
  <c r="P137" i="2" s="1"/>
  <c r="M137" i="2"/>
  <c r="L137" i="2"/>
  <c r="K137" i="2"/>
  <c r="O103" i="1"/>
  <c r="P103" i="1" s="1"/>
  <c r="O121" i="1"/>
  <c r="P121" i="1" s="1"/>
  <c r="O106" i="1"/>
  <c r="P106" i="1" s="1"/>
  <c r="O116" i="1"/>
  <c r="P116" i="1" s="1"/>
  <c r="M138" i="1"/>
  <c r="L138" i="1"/>
  <c r="K138" i="1"/>
  <c r="M137" i="1"/>
  <c r="L137" i="1"/>
  <c r="K137" i="1"/>
  <c r="M136" i="1"/>
  <c r="L136" i="1"/>
  <c r="K136" i="1"/>
  <c r="M133" i="2"/>
  <c r="L133" i="2"/>
  <c r="K133" i="2"/>
  <c r="M132" i="2"/>
  <c r="L132" i="2"/>
  <c r="K132" i="2"/>
  <c r="M131" i="2"/>
  <c r="L131" i="2"/>
  <c r="K131" i="2"/>
  <c r="M130" i="2"/>
  <c r="L130" i="2"/>
  <c r="K130" i="2"/>
  <c r="U144" i="1" l="1"/>
  <c r="W144" i="1" s="1"/>
  <c r="U150" i="1"/>
  <c r="W150" i="1" s="1"/>
  <c r="U146" i="1"/>
  <c r="W146" i="1" s="1"/>
  <c r="O143" i="1"/>
  <c r="P143" i="1" s="1"/>
  <c r="P142" i="1"/>
  <c r="W142" i="1"/>
  <c r="Q141" i="1"/>
  <c r="O141" i="1" s="1"/>
  <c r="U141" i="1" s="1"/>
  <c r="W139" i="1"/>
  <c r="N130" i="2"/>
  <c r="Q130" i="2" s="1"/>
  <c r="O130" i="2" s="1"/>
  <c r="P130" i="2" s="1"/>
  <c r="N137" i="2"/>
  <c r="N138" i="2"/>
  <c r="Q138" i="2" s="1"/>
  <c r="U138" i="2" s="1"/>
  <c r="N133" i="2"/>
  <c r="Q133" i="2" s="1"/>
  <c r="O133" i="2" s="1"/>
  <c r="P133" i="2" s="1"/>
  <c r="N132" i="2"/>
  <c r="Q132" i="2" s="1"/>
  <c r="N131" i="2"/>
  <c r="Q131" i="2" s="1"/>
  <c r="N138" i="1"/>
  <c r="U138" i="1" s="1"/>
  <c r="N136" i="1"/>
  <c r="N137" i="1"/>
  <c r="U137" i="1" s="1"/>
  <c r="M135" i="1"/>
  <c r="L135" i="1"/>
  <c r="K135" i="1"/>
  <c r="O102" i="1"/>
  <c r="P102" i="1" s="1"/>
  <c r="M134" i="1"/>
  <c r="L134" i="1"/>
  <c r="K134" i="1"/>
  <c r="M133" i="1"/>
  <c r="L133" i="1"/>
  <c r="K133" i="1"/>
  <c r="M132" i="1"/>
  <c r="L132" i="1"/>
  <c r="K132" i="1"/>
  <c r="M131" i="1"/>
  <c r="L131" i="1"/>
  <c r="K131" i="1"/>
  <c r="M130" i="1"/>
  <c r="L130" i="1"/>
  <c r="K130" i="1"/>
  <c r="M129" i="1"/>
  <c r="L129" i="1"/>
  <c r="K129" i="1"/>
  <c r="J128" i="2"/>
  <c r="K128" i="2" s="1"/>
  <c r="M128" i="1"/>
  <c r="L128" i="1"/>
  <c r="K128" i="1"/>
  <c r="M127" i="1"/>
  <c r="L127" i="1"/>
  <c r="K127" i="1"/>
  <c r="AH3" i="22"/>
  <c r="AD3" i="22"/>
  <c r="AC3" i="22"/>
  <c r="AB3" i="22"/>
  <c r="AA3" i="22"/>
  <c r="M2" i="22"/>
  <c r="L2" i="22"/>
  <c r="K2" i="22"/>
  <c r="K124" i="1"/>
  <c r="L124" i="1"/>
  <c r="M124" i="1"/>
  <c r="K123" i="1"/>
  <c r="L123" i="1"/>
  <c r="M123" i="1"/>
  <c r="M126" i="1"/>
  <c r="L126" i="1"/>
  <c r="K126" i="1"/>
  <c r="M125" i="1"/>
  <c r="L125" i="1"/>
  <c r="K125" i="1"/>
  <c r="Q136" i="1" l="1"/>
  <c r="U136" i="1" s="1"/>
  <c r="W136" i="1" s="1"/>
  <c r="U143" i="1"/>
  <c r="W143" i="1" s="1"/>
  <c r="P141" i="1"/>
  <c r="W141" i="1"/>
  <c r="O132" i="2"/>
  <c r="P132" i="2" s="1"/>
  <c r="O131" i="2"/>
  <c r="P131" i="2" s="1"/>
  <c r="N135" i="1"/>
  <c r="N130" i="1"/>
  <c r="N129" i="1"/>
  <c r="N133" i="1"/>
  <c r="N134" i="1"/>
  <c r="N131" i="1"/>
  <c r="N132" i="1"/>
  <c r="M128" i="2"/>
  <c r="L128" i="2"/>
  <c r="N128" i="1"/>
  <c r="U128" i="1" s="1"/>
  <c r="N127" i="1"/>
  <c r="N2" i="22"/>
  <c r="U2" i="22" s="1"/>
  <c r="W2" i="22" s="1"/>
  <c r="K3" i="22"/>
  <c r="AG3" i="22"/>
  <c r="AF3" i="22"/>
  <c r="M3" i="22"/>
  <c r="L3" i="22"/>
  <c r="Z3" i="22"/>
  <c r="AE3" i="22"/>
  <c r="J3" i="22"/>
  <c r="N123" i="1"/>
  <c r="N124" i="1"/>
  <c r="U124" i="1" s="1"/>
  <c r="N126" i="1"/>
  <c r="N125" i="1"/>
  <c r="O127" i="2"/>
  <c r="P127" i="2" s="1"/>
  <c r="M127" i="2"/>
  <c r="L127" i="2"/>
  <c r="K127" i="2"/>
  <c r="O100" i="1"/>
  <c r="P100" i="1" s="1"/>
  <c r="K122" i="1"/>
  <c r="L122" i="1"/>
  <c r="M122" i="1"/>
  <c r="K121" i="1"/>
  <c r="L121" i="1"/>
  <c r="M121" i="1"/>
  <c r="K120" i="1"/>
  <c r="L120" i="1"/>
  <c r="M120" i="1"/>
  <c r="U127" i="1" l="1"/>
  <c r="W127" i="1" s="1"/>
  <c r="O125" i="1"/>
  <c r="P125" i="1" s="1"/>
  <c r="O126" i="1"/>
  <c r="P126" i="1" s="1"/>
  <c r="W128" i="1"/>
  <c r="N128" i="2"/>
  <c r="Q128" i="2" s="1"/>
  <c r="O128" i="2" s="1"/>
  <c r="P128" i="2" s="1"/>
  <c r="Q132" i="1"/>
  <c r="U132" i="1" s="1"/>
  <c r="Q131" i="1"/>
  <c r="U131" i="1" s="1"/>
  <c r="Q129" i="1"/>
  <c r="Q130" i="1"/>
  <c r="O134" i="1"/>
  <c r="P134" i="1" s="1"/>
  <c r="O133" i="1"/>
  <c r="P133" i="1" s="1"/>
  <c r="O135" i="1"/>
  <c r="P135" i="1" s="1"/>
  <c r="Q123" i="1"/>
  <c r="N127" i="2"/>
  <c r="N121" i="1"/>
  <c r="U121" i="1" s="1"/>
  <c r="N122" i="1"/>
  <c r="U122" i="1" s="1"/>
  <c r="N120" i="1"/>
  <c r="U130" i="1" l="1"/>
  <c r="W130" i="1" s="1"/>
  <c r="U134" i="1"/>
  <c r="W134" i="1" s="1"/>
  <c r="U133" i="1"/>
  <c r="W133" i="1" s="1"/>
  <c r="Q120" i="1"/>
  <c r="U120" i="1" s="1"/>
  <c r="W120" i="1" s="1"/>
  <c r="U125" i="1"/>
  <c r="W125" i="1" s="1"/>
  <c r="U123" i="1"/>
  <c r="W123" i="1" s="1"/>
  <c r="U126" i="1"/>
  <c r="W126" i="1" s="1"/>
  <c r="W131" i="1"/>
  <c r="U129" i="1"/>
  <c r="W129" i="1" s="1"/>
  <c r="W132" i="1"/>
  <c r="U135" i="1"/>
  <c r="W135" i="1" s="1"/>
  <c r="N3" i="22"/>
  <c r="Q3" i="22"/>
  <c r="P96" i="2"/>
  <c r="M96" i="2"/>
  <c r="L96" i="2"/>
  <c r="K96" i="2"/>
  <c r="P70" i="1"/>
  <c r="O69" i="1"/>
  <c r="M119" i="1"/>
  <c r="L119" i="1"/>
  <c r="K119" i="1"/>
  <c r="N96" i="2" l="1"/>
  <c r="O3" i="22"/>
  <c r="N119" i="1"/>
  <c r="U119" i="1" s="1"/>
  <c r="U3" i="22" l="1"/>
  <c r="U4" i="22" s="1"/>
  <c r="M118" i="1"/>
  <c r="L118" i="1"/>
  <c r="K118" i="1"/>
  <c r="M117" i="1"/>
  <c r="L117" i="1"/>
  <c r="K117" i="1"/>
  <c r="M116" i="1"/>
  <c r="L116" i="1"/>
  <c r="K116" i="1"/>
  <c r="M115" i="1"/>
  <c r="L115" i="1"/>
  <c r="K115" i="1"/>
  <c r="K104" i="1"/>
  <c r="L104" i="1"/>
  <c r="M104" i="1"/>
  <c r="N118" i="1" l="1"/>
  <c r="N117" i="1"/>
  <c r="U117" i="1" s="1"/>
  <c r="N116" i="1"/>
  <c r="U116" i="1" s="1"/>
  <c r="N115" i="1"/>
  <c r="N104" i="1"/>
  <c r="Q104" i="1" l="1"/>
  <c r="U104" i="1" s="1"/>
  <c r="Q115" i="1"/>
  <c r="U115" i="1" s="1"/>
  <c r="W115" i="1" s="1"/>
  <c r="Q118" i="1"/>
  <c r="U118" i="1" s="1"/>
  <c r="W118" i="1" s="1"/>
  <c r="M114" i="1"/>
  <c r="L114" i="1"/>
  <c r="K114" i="1"/>
  <c r="M113" i="1"/>
  <c r="L113" i="1"/>
  <c r="K113" i="1"/>
  <c r="M112" i="1"/>
  <c r="L112" i="1"/>
  <c r="K112" i="1"/>
  <c r="M111" i="1"/>
  <c r="L111" i="1"/>
  <c r="K111" i="1"/>
  <c r="M110" i="1"/>
  <c r="L110" i="1"/>
  <c r="K110" i="1"/>
  <c r="M109" i="1"/>
  <c r="L109" i="1"/>
  <c r="K109" i="1"/>
  <c r="N109" i="1" l="1"/>
  <c r="N114" i="1"/>
  <c r="N113" i="1"/>
  <c r="N110" i="1"/>
  <c r="N112" i="1"/>
  <c r="N111" i="1"/>
  <c r="M108" i="1"/>
  <c r="L108" i="1"/>
  <c r="K108" i="1"/>
  <c r="M107" i="1"/>
  <c r="L107" i="1"/>
  <c r="K107" i="1"/>
  <c r="M106" i="1"/>
  <c r="L106" i="1"/>
  <c r="K106" i="1"/>
  <c r="M105" i="1"/>
  <c r="L105" i="1"/>
  <c r="K105" i="1"/>
  <c r="M103" i="1"/>
  <c r="L103" i="1"/>
  <c r="K103" i="1"/>
  <c r="M102" i="1"/>
  <c r="L102" i="1"/>
  <c r="K102" i="1"/>
  <c r="M101" i="1"/>
  <c r="L101" i="1"/>
  <c r="K101" i="1"/>
  <c r="O126" i="2"/>
  <c r="P126" i="2" s="1"/>
  <c r="M126" i="2"/>
  <c r="L126" i="2"/>
  <c r="K126" i="2"/>
  <c r="O125" i="2"/>
  <c r="P125" i="2" s="1"/>
  <c r="M125" i="2"/>
  <c r="L125" i="2"/>
  <c r="K125" i="2"/>
  <c r="O93" i="1"/>
  <c r="P93" i="1" s="1"/>
  <c r="O91" i="1"/>
  <c r="P91" i="1" s="1"/>
  <c r="M124" i="2"/>
  <c r="L124" i="2"/>
  <c r="K124" i="2"/>
  <c r="M123" i="2"/>
  <c r="L123" i="2"/>
  <c r="K123" i="2"/>
  <c r="Q110" i="1" l="1"/>
  <c r="U110" i="1" s="1"/>
  <c r="Q109" i="1"/>
  <c r="U109" i="1" s="1"/>
  <c r="Q114" i="1"/>
  <c r="O114" i="1" s="1"/>
  <c r="U114" i="1" s="1"/>
  <c r="Q113" i="1"/>
  <c r="O113" i="1" s="1"/>
  <c r="U113" i="1" s="1"/>
  <c r="Q111" i="1"/>
  <c r="O111" i="1" s="1"/>
  <c r="P111" i="1" s="1"/>
  <c r="Q112" i="1"/>
  <c r="O112" i="1" s="1"/>
  <c r="U112" i="1" s="1"/>
  <c r="N126" i="2"/>
  <c r="Q126" i="2" s="1"/>
  <c r="N123" i="2"/>
  <c r="O123" i="2" s="1"/>
  <c r="P123" i="2" s="1"/>
  <c r="N125" i="2"/>
  <c r="Q125" i="2" s="1"/>
  <c r="N124" i="2"/>
  <c r="O124" i="2" s="1"/>
  <c r="P124" i="2" s="1"/>
  <c r="N108" i="1"/>
  <c r="N105" i="1"/>
  <c r="U105" i="1" s="1"/>
  <c r="N106" i="1"/>
  <c r="U106" i="1" s="1"/>
  <c r="N107" i="1"/>
  <c r="U107" i="1" s="1"/>
  <c r="N101" i="1"/>
  <c r="N103" i="1"/>
  <c r="U103" i="1" s="1"/>
  <c r="N102" i="1"/>
  <c r="U102" i="1" s="1"/>
  <c r="W109" i="1" l="1"/>
  <c r="Q108" i="1"/>
  <c r="U108" i="1" s="1"/>
  <c r="W108" i="1" s="1"/>
  <c r="U111" i="1"/>
  <c r="W111" i="1" s="1"/>
  <c r="Q101" i="1"/>
  <c r="W104" i="1"/>
  <c r="P112" i="1"/>
  <c r="W112" i="1"/>
  <c r="P114" i="1"/>
  <c r="W114" i="1"/>
  <c r="P113" i="1"/>
  <c r="W113" i="1"/>
  <c r="Z359" i="1"/>
  <c r="U101" i="1" l="1"/>
  <c r="W101" i="1" s="1"/>
  <c r="W110" i="1"/>
  <c r="M119" i="2" l="1"/>
  <c r="L119" i="2"/>
  <c r="K119" i="2"/>
  <c r="Q42" i="2"/>
  <c r="M42" i="2"/>
  <c r="L42" i="2"/>
  <c r="K42" i="2"/>
  <c r="Q34" i="2"/>
  <c r="L34" i="2"/>
  <c r="K34" i="2"/>
  <c r="J34" i="2"/>
  <c r="M34" i="2" s="1"/>
  <c r="Q21" i="1"/>
  <c r="Q5" i="1"/>
  <c r="AE359" i="1"/>
  <c r="N42" i="2" l="1"/>
  <c r="O42" i="2" s="1"/>
  <c r="P42" i="2" s="1"/>
  <c r="N119" i="2"/>
  <c r="Q119" i="2" s="1"/>
  <c r="O119" i="2" s="1"/>
  <c r="N34" i="2"/>
  <c r="O34" i="2" s="1"/>
  <c r="P34" i="2" s="1"/>
  <c r="M100" i="1"/>
  <c r="L100" i="1"/>
  <c r="K100" i="1"/>
  <c r="O122" i="2"/>
  <c r="P122" i="2" s="1"/>
  <c r="M122" i="2"/>
  <c r="L122" i="2"/>
  <c r="K122" i="2"/>
  <c r="O121" i="2"/>
  <c r="P121" i="2" s="1"/>
  <c r="M121" i="2"/>
  <c r="L121" i="2"/>
  <c r="K121" i="2"/>
  <c r="O120" i="2"/>
  <c r="P120" i="2" s="1"/>
  <c r="M120" i="2"/>
  <c r="L120" i="2"/>
  <c r="K120" i="2"/>
  <c r="O96" i="1"/>
  <c r="P96" i="1" s="1"/>
  <c r="O94" i="1"/>
  <c r="P94" i="1" s="1"/>
  <c r="O95" i="1"/>
  <c r="P95" i="1" s="1"/>
  <c r="L99" i="1"/>
  <c r="N120" i="2" l="1"/>
  <c r="N100" i="1"/>
  <c r="U100" i="1" s="1"/>
  <c r="N122" i="2"/>
  <c r="N121" i="2"/>
  <c r="P119" i="2"/>
  <c r="K99" i="1"/>
  <c r="M99" i="1"/>
  <c r="N99" i="1" l="1"/>
  <c r="J118" i="2"/>
  <c r="J97" i="1"/>
  <c r="J98" i="1"/>
  <c r="O98" i="1" l="1"/>
  <c r="P98" i="1" s="1"/>
  <c r="AF98" i="1"/>
  <c r="AG98" i="1" s="1"/>
  <c r="O97" i="1"/>
  <c r="P97" i="1" s="1"/>
  <c r="AF97" i="1"/>
  <c r="AG97" i="1" s="1"/>
  <c r="U99" i="1"/>
  <c r="M98" i="1"/>
  <c r="K97" i="1"/>
  <c r="L97" i="1"/>
  <c r="K118" i="2"/>
  <c r="L118" i="2"/>
  <c r="M118" i="2"/>
  <c r="L98" i="1"/>
  <c r="M97" i="1"/>
  <c r="K98" i="1"/>
  <c r="J117" i="2"/>
  <c r="K117" i="2" s="1"/>
  <c r="N97" i="1" l="1"/>
  <c r="N118" i="2"/>
  <c r="O118" i="2" s="1"/>
  <c r="P118" i="2" s="1"/>
  <c r="L117" i="2"/>
  <c r="M117" i="2"/>
  <c r="N98" i="1"/>
  <c r="M96" i="1"/>
  <c r="L96" i="1"/>
  <c r="K96" i="1"/>
  <c r="M95" i="1"/>
  <c r="L95" i="1"/>
  <c r="K95" i="1"/>
  <c r="M94" i="1"/>
  <c r="L94" i="1"/>
  <c r="K94" i="1"/>
  <c r="Q45" i="1"/>
  <c r="Q44" i="1"/>
  <c r="Q63" i="1"/>
  <c r="Q64" i="1"/>
  <c r="Q81" i="2"/>
  <c r="J67" i="2"/>
  <c r="M67" i="2" s="1"/>
  <c r="Q71" i="2"/>
  <c r="M116" i="2"/>
  <c r="L116" i="2"/>
  <c r="K116" i="2"/>
  <c r="M79" i="1"/>
  <c r="L79" i="1"/>
  <c r="K79" i="1"/>
  <c r="U98" i="1" l="1"/>
  <c r="W98" i="1" s="1"/>
  <c r="U97" i="1"/>
  <c r="W97" i="1" s="1"/>
  <c r="N117" i="2"/>
  <c r="O117" i="2" s="1"/>
  <c r="P117" i="2" s="1"/>
  <c r="K67" i="2"/>
  <c r="L67" i="2"/>
  <c r="N95" i="1"/>
  <c r="U95" i="1" s="1"/>
  <c r="N96" i="1"/>
  <c r="U96" i="1" s="1"/>
  <c r="N94" i="1"/>
  <c r="U94" i="1" s="1"/>
  <c r="N116" i="2"/>
  <c r="O116" i="2" s="1"/>
  <c r="P116" i="2" s="1"/>
  <c r="N79" i="1"/>
  <c r="Q115" i="2"/>
  <c r="M115" i="2"/>
  <c r="L115" i="2"/>
  <c r="K115" i="2"/>
  <c r="Q80" i="1"/>
  <c r="Q114" i="2"/>
  <c r="M114" i="2"/>
  <c r="L114" i="2"/>
  <c r="K114" i="2"/>
  <c r="Q81" i="1"/>
  <c r="Q113" i="2"/>
  <c r="M113" i="2"/>
  <c r="L113" i="2"/>
  <c r="K113" i="2"/>
  <c r="Q88" i="1"/>
  <c r="Q112" i="2"/>
  <c r="M112" i="2"/>
  <c r="L112" i="2"/>
  <c r="K112" i="2"/>
  <c r="Q82" i="1"/>
  <c r="Q111" i="2"/>
  <c r="M111" i="2"/>
  <c r="L111" i="2"/>
  <c r="K111" i="2"/>
  <c r="Q87" i="1"/>
  <c r="Q110" i="2"/>
  <c r="M110" i="2"/>
  <c r="L110" i="2"/>
  <c r="K110" i="2"/>
  <c r="Q83" i="1"/>
  <c r="P92" i="1"/>
  <c r="Q45" i="2"/>
  <c r="M45" i="2"/>
  <c r="L45" i="2"/>
  <c r="K45" i="2"/>
  <c r="Q47" i="2"/>
  <c r="M47" i="2"/>
  <c r="L47" i="2"/>
  <c r="K47" i="2"/>
  <c r="Q43" i="2"/>
  <c r="M43" i="2"/>
  <c r="L43" i="2"/>
  <c r="K43" i="2"/>
  <c r="Q41" i="1"/>
  <c r="Q42" i="1"/>
  <c r="Q43" i="1"/>
  <c r="Q103" i="2"/>
  <c r="M103" i="2"/>
  <c r="L103" i="2"/>
  <c r="K103" i="2"/>
  <c r="M109" i="2"/>
  <c r="L109" i="2"/>
  <c r="K109" i="2"/>
  <c r="Q104" i="2"/>
  <c r="M104" i="2"/>
  <c r="L104" i="2"/>
  <c r="K104" i="2"/>
  <c r="Q105" i="2"/>
  <c r="M105" i="2"/>
  <c r="L105" i="2"/>
  <c r="K105" i="2"/>
  <c r="Q106" i="2"/>
  <c r="M106" i="2"/>
  <c r="L106" i="2"/>
  <c r="K106" i="2"/>
  <c r="Q107" i="2"/>
  <c r="M107" i="2"/>
  <c r="L107" i="2"/>
  <c r="K107" i="2"/>
  <c r="Q108" i="2"/>
  <c r="M108" i="2"/>
  <c r="L108" i="2"/>
  <c r="K108" i="2"/>
  <c r="Q54" i="1"/>
  <c r="Q55" i="1"/>
  <c r="Q84" i="1"/>
  <c r="Q85" i="1"/>
  <c r="Q86" i="1"/>
  <c r="Q89" i="1"/>
  <c r="P36" i="1"/>
  <c r="M93" i="1"/>
  <c r="L93" i="1"/>
  <c r="K93" i="1"/>
  <c r="M92" i="1"/>
  <c r="L92" i="1"/>
  <c r="K92" i="1"/>
  <c r="M91" i="1"/>
  <c r="L91" i="1"/>
  <c r="K91" i="1"/>
  <c r="Q98" i="2"/>
  <c r="M98" i="2"/>
  <c r="L98" i="2"/>
  <c r="K98" i="2"/>
  <c r="Q66" i="1"/>
  <c r="Q91" i="2"/>
  <c r="Q68" i="1"/>
  <c r="M101" i="2"/>
  <c r="L101" i="2"/>
  <c r="K101" i="2"/>
  <c r="M100" i="2"/>
  <c r="L100" i="2"/>
  <c r="K100" i="2"/>
  <c r="M99" i="2"/>
  <c r="L99" i="2"/>
  <c r="K99" i="2"/>
  <c r="M97" i="2"/>
  <c r="L97" i="2"/>
  <c r="K97" i="2"/>
  <c r="M90" i="1"/>
  <c r="L90" i="1"/>
  <c r="K90" i="1"/>
  <c r="M89" i="1"/>
  <c r="L89" i="1"/>
  <c r="K89" i="1"/>
  <c r="M88" i="1"/>
  <c r="L88" i="1"/>
  <c r="K88" i="1"/>
  <c r="M87" i="1"/>
  <c r="L87" i="1"/>
  <c r="K87" i="1"/>
  <c r="Q79" i="1" l="1"/>
  <c r="U79" i="1" s="1"/>
  <c r="W79" i="1" s="1"/>
  <c r="N67" i="2"/>
  <c r="O67" i="2" s="1"/>
  <c r="P67" i="2" s="1"/>
  <c r="N47" i="2"/>
  <c r="O47" i="2" s="1"/>
  <c r="P47" i="2" s="1"/>
  <c r="N113" i="2"/>
  <c r="O113" i="2" s="1"/>
  <c r="P113" i="2" s="1"/>
  <c r="N110" i="2"/>
  <c r="O110" i="2" s="1"/>
  <c r="P110" i="2" s="1"/>
  <c r="N115" i="2"/>
  <c r="O115" i="2" s="1"/>
  <c r="P115" i="2" s="1"/>
  <c r="N112" i="2"/>
  <c r="O112" i="2" s="1"/>
  <c r="P112" i="2" s="1"/>
  <c r="N43" i="2"/>
  <c r="O43" i="2" s="1"/>
  <c r="P43" i="2" s="1"/>
  <c r="N45" i="2"/>
  <c r="O45" i="2" s="1"/>
  <c r="P45" i="2" s="1"/>
  <c r="N114" i="2"/>
  <c r="O114" i="2" s="1"/>
  <c r="P114" i="2" s="1"/>
  <c r="N111" i="2"/>
  <c r="O111" i="2" s="1"/>
  <c r="P111" i="2" s="1"/>
  <c r="N109" i="2"/>
  <c r="O109" i="2" s="1"/>
  <c r="P109" i="2" s="1"/>
  <c r="N104" i="2"/>
  <c r="O104" i="2" s="1"/>
  <c r="P104" i="2" s="1"/>
  <c r="N103" i="2"/>
  <c r="O103" i="2" s="1"/>
  <c r="P103" i="2" s="1"/>
  <c r="N106" i="2"/>
  <c r="O106" i="2" s="1"/>
  <c r="P106" i="2" s="1"/>
  <c r="N105" i="2"/>
  <c r="O105" i="2" s="1"/>
  <c r="P105" i="2" s="1"/>
  <c r="N100" i="2"/>
  <c r="Q100" i="2" s="1"/>
  <c r="O100" i="2" s="1"/>
  <c r="P100" i="2" s="1"/>
  <c r="N108" i="2"/>
  <c r="O108" i="2" s="1"/>
  <c r="P108" i="2" s="1"/>
  <c r="N101" i="2"/>
  <c r="Q101" i="2" s="1"/>
  <c r="O101" i="2" s="1"/>
  <c r="P101" i="2" s="1"/>
  <c r="N98" i="2"/>
  <c r="O98" i="2" s="1"/>
  <c r="P98" i="2" s="1"/>
  <c r="N107" i="2"/>
  <c r="O107" i="2" s="1"/>
  <c r="P107" i="2" s="1"/>
  <c r="N93" i="1"/>
  <c r="N92" i="1"/>
  <c r="U92" i="1" s="1"/>
  <c r="N91" i="1"/>
  <c r="N99" i="2"/>
  <c r="Q99" i="2" s="1"/>
  <c r="N97" i="2"/>
  <c r="O97" i="2" s="1"/>
  <c r="P97" i="2" s="1"/>
  <c r="N90" i="1"/>
  <c r="N87" i="1"/>
  <c r="N88" i="1"/>
  <c r="N89" i="1"/>
  <c r="M86" i="1"/>
  <c r="L86" i="1"/>
  <c r="K86" i="1"/>
  <c r="M85" i="1"/>
  <c r="L85" i="1"/>
  <c r="K85" i="1"/>
  <c r="M84" i="1"/>
  <c r="L84" i="1"/>
  <c r="K84" i="1"/>
  <c r="M83" i="1"/>
  <c r="L83" i="1"/>
  <c r="K83" i="1"/>
  <c r="M82" i="1"/>
  <c r="L82" i="1"/>
  <c r="K82" i="1"/>
  <c r="M81" i="1"/>
  <c r="L81" i="1"/>
  <c r="K81" i="1"/>
  <c r="M80" i="1"/>
  <c r="L80" i="1"/>
  <c r="K80" i="1"/>
  <c r="M78" i="1"/>
  <c r="L78" i="1"/>
  <c r="K78" i="1"/>
  <c r="M94" i="2"/>
  <c r="L94" i="2"/>
  <c r="K94" i="2"/>
  <c r="J77" i="1"/>
  <c r="AF77" i="1" s="1"/>
  <c r="AG77" i="1" s="1"/>
  <c r="M93" i="2"/>
  <c r="L93" i="2"/>
  <c r="K93" i="2"/>
  <c r="Q65" i="1"/>
  <c r="Q92" i="2"/>
  <c r="Q27" i="1"/>
  <c r="M92" i="2"/>
  <c r="L92" i="2"/>
  <c r="K92" i="2"/>
  <c r="M91" i="2"/>
  <c r="L91" i="2"/>
  <c r="K91" i="2"/>
  <c r="Q86" i="2"/>
  <c r="M90" i="2"/>
  <c r="L90" i="2"/>
  <c r="K90" i="2"/>
  <c r="M89" i="2"/>
  <c r="L89" i="2"/>
  <c r="K89" i="2"/>
  <c r="J88" i="2"/>
  <c r="L88" i="2" s="1"/>
  <c r="O87" i="2"/>
  <c r="P87" i="2" s="1"/>
  <c r="M87" i="2"/>
  <c r="L87" i="2"/>
  <c r="K87" i="2"/>
  <c r="O25" i="1"/>
  <c r="P25" i="1" s="1"/>
  <c r="O81" i="2"/>
  <c r="P81" i="2" s="1"/>
  <c r="M81" i="2"/>
  <c r="L81" i="2"/>
  <c r="K81" i="2"/>
  <c r="O86" i="2"/>
  <c r="P86" i="2" s="1"/>
  <c r="M86" i="2"/>
  <c r="L86" i="2"/>
  <c r="K86" i="2"/>
  <c r="O64" i="1"/>
  <c r="P64" i="1" s="1"/>
  <c r="M85" i="2"/>
  <c r="L85" i="2"/>
  <c r="K85" i="2"/>
  <c r="M84" i="2"/>
  <c r="L84" i="2"/>
  <c r="K84" i="2"/>
  <c r="M83" i="2"/>
  <c r="L83" i="2"/>
  <c r="K83" i="2"/>
  <c r="M82" i="2"/>
  <c r="L82" i="2"/>
  <c r="K82" i="2"/>
  <c r="O63" i="1"/>
  <c r="P63" i="1" s="1"/>
  <c r="O45" i="1"/>
  <c r="O44" i="1"/>
  <c r="W92" i="1" l="1"/>
  <c r="Q91" i="1"/>
  <c r="Q93" i="1"/>
  <c r="O88" i="1"/>
  <c r="P88" i="1" s="1"/>
  <c r="O87" i="1"/>
  <c r="P87" i="1" s="1"/>
  <c r="O90" i="1"/>
  <c r="P90" i="1" s="1"/>
  <c r="O89" i="1"/>
  <c r="P89" i="1" s="1"/>
  <c r="N93" i="2"/>
  <c r="O93" i="2" s="1"/>
  <c r="P93" i="2" s="1"/>
  <c r="N94" i="2"/>
  <c r="O94" i="2" s="1"/>
  <c r="P94" i="2" s="1"/>
  <c r="O99" i="2"/>
  <c r="P99" i="2" s="1"/>
  <c r="M88" i="2"/>
  <c r="N90" i="2"/>
  <c r="Q90" i="2" s="1"/>
  <c r="O90" i="2" s="1"/>
  <c r="P90" i="2" s="1"/>
  <c r="N83" i="2"/>
  <c r="Q83" i="2" s="1"/>
  <c r="O83" i="2" s="1"/>
  <c r="P83" i="2" s="1"/>
  <c r="N80" i="1"/>
  <c r="N86" i="1"/>
  <c r="N85" i="1"/>
  <c r="N84" i="1"/>
  <c r="N83" i="1"/>
  <c r="N82" i="1"/>
  <c r="N81" i="1"/>
  <c r="N78" i="1"/>
  <c r="K77" i="1"/>
  <c r="L77" i="1"/>
  <c r="M77" i="1"/>
  <c r="N87" i="2"/>
  <c r="N89" i="2"/>
  <c r="Q89" i="2" s="1"/>
  <c r="N92" i="2"/>
  <c r="N81" i="2"/>
  <c r="N91" i="2"/>
  <c r="K88" i="2"/>
  <c r="N84" i="2"/>
  <c r="Q84" i="2" s="1"/>
  <c r="O84" i="2" s="1"/>
  <c r="P84" i="2" s="1"/>
  <c r="N86" i="2"/>
  <c r="N82" i="2"/>
  <c r="Q82" i="2" s="1"/>
  <c r="O82" i="2" s="1"/>
  <c r="P82" i="2" s="1"/>
  <c r="N85" i="2"/>
  <c r="Q85" i="2" s="1"/>
  <c r="O85" i="2" s="1"/>
  <c r="P85" i="2" s="1"/>
  <c r="M76" i="1"/>
  <c r="L76" i="1"/>
  <c r="K76" i="1"/>
  <c r="Q78" i="1" l="1"/>
  <c r="U78" i="1" s="1"/>
  <c r="W78" i="1" s="1"/>
  <c r="U87" i="1"/>
  <c r="W87" i="1" s="1"/>
  <c r="U90" i="1"/>
  <c r="W90" i="1" s="1"/>
  <c r="U88" i="1"/>
  <c r="W88" i="1" s="1"/>
  <c r="U89" i="1"/>
  <c r="W89" i="1" s="1"/>
  <c r="U93" i="1"/>
  <c r="W93" i="1" s="1"/>
  <c r="U91" i="1"/>
  <c r="W91" i="1" s="1"/>
  <c r="Q87" i="2"/>
  <c r="O83" i="1"/>
  <c r="P83" i="1" s="1"/>
  <c r="O80" i="1"/>
  <c r="P80" i="1" s="1"/>
  <c r="O81" i="1"/>
  <c r="P81" i="1" s="1"/>
  <c r="O82" i="1"/>
  <c r="P82" i="1" s="1"/>
  <c r="O84" i="1"/>
  <c r="P84" i="1" s="1"/>
  <c r="O85" i="1"/>
  <c r="P85" i="1" s="1"/>
  <c r="O86" i="1"/>
  <c r="P86" i="1" s="1"/>
  <c r="N88" i="2"/>
  <c r="Q88" i="2" s="1"/>
  <c r="O91" i="2"/>
  <c r="P91" i="2" s="1"/>
  <c r="O92" i="2"/>
  <c r="P92" i="2" s="1"/>
  <c r="O89" i="2"/>
  <c r="P89" i="2" s="1"/>
  <c r="N77" i="1"/>
  <c r="N76" i="1"/>
  <c r="M75" i="1"/>
  <c r="L75" i="1"/>
  <c r="K75" i="1"/>
  <c r="J80" i="2"/>
  <c r="M79" i="2"/>
  <c r="L79" i="2"/>
  <c r="K79" i="2"/>
  <c r="M78" i="2"/>
  <c r="L78" i="2"/>
  <c r="K78" i="2"/>
  <c r="M77" i="2"/>
  <c r="L77" i="2"/>
  <c r="K77" i="2"/>
  <c r="K68" i="1"/>
  <c r="L68" i="1"/>
  <c r="M68" i="1"/>
  <c r="J73" i="1"/>
  <c r="AF73" i="1" s="1"/>
  <c r="AG73" i="1" s="1"/>
  <c r="M74" i="1"/>
  <c r="L74" i="1"/>
  <c r="K74" i="1"/>
  <c r="M72" i="1"/>
  <c r="L72" i="1"/>
  <c r="K72" i="1"/>
  <c r="M71" i="1"/>
  <c r="L71" i="1"/>
  <c r="K71" i="1"/>
  <c r="M76" i="2"/>
  <c r="L76" i="2"/>
  <c r="K76" i="2"/>
  <c r="M70" i="1"/>
  <c r="L70" i="1"/>
  <c r="K70" i="1"/>
  <c r="M69" i="1"/>
  <c r="L69" i="1"/>
  <c r="K69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O75" i="2"/>
  <c r="P75" i="2" s="1"/>
  <c r="M75" i="2"/>
  <c r="L75" i="2"/>
  <c r="K75" i="2"/>
  <c r="O74" i="2"/>
  <c r="P74" i="2" s="1"/>
  <c r="M74" i="2"/>
  <c r="L74" i="2"/>
  <c r="K74" i="2"/>
  <c r="O73" i="2"/>
  <c r="P73" i="2" s="1"/>
  <c r="M73" i="2"/>
  <c r="L73" i="2"/>
  <c r="K73" i="2"/>
  <c r="O72" i="2"/>
  <c r="P72" i="2" s="1"/>
  <c r="M72" i="2"/>
  <c r="L72" i="2"/>
  <c r="K72" i="2"/>
  <c r="O49" i="1"/>
  <c r="O38" i="1"/>
  <c r="P38" i="1" s="1"/>
  <c r="O37" i="1"/>
  <c r="O35" i="1"/>
  <c r="P35" i="1" s="1"/>
  <c r="U85" i="1" l="1"/>
  <c r="W85" i="1" s="1"/>
  <c r="U82" i="1"/>
  <c r="W82" i="1" s="1"/>
  <c r="U80" i="1"/>
  <c r="W80" i="1" s="1"/>
  <c r="U86" i="1"/>
  <c r="W86" i="1" s="1"/>
  <c r="U81" i="1"/>
  <c r="W81" i="1" s="1"/>
  <c r="U83" i="1"/>
  <c r="W83" i="1" s="1"/>
  <c r="U84" i="1"/>
  <c r="W84" i="1" s="1"/>
  <c r="O77" i="1"/>
  <c r="P77" i="1" s="1"/>
  <c r="M73" i="1"/>
  <c r="O88" i="2"/>
  <c r="P88" i="2" s="1"/>
  <c r="N72" i="2"/>
  <c r="Q72" i="2" s="1"/>
  <c r="N74" i="2"/>
  <c r="Q74" i="2" s="1"/>
  <c r="N78" i="2"/>
  <c r="O78" i="2" s="1"/>
  <c r="P78" i="2" s="1"/>
  <c r="O76" i="1"/>
  <c r="P76" i="1" s="1"/>
  <c r="N76" i="2"/>
  <c r="O76" i="2" s="1"/>
  <c r="P76" i="2" s="1"/>
  <c r="N79" i="2"/>
  <c r="O79" i="2" s="1"/>
  <c r="P79" i="2" s="1"/>
  <c r="N75" i="2"/>
  <c r="Q75" i="2" s="1"/>
  <c r="N77" i="2"/>
  <c r="O77" i="2" s="1"/>
  <c r="P77" i="2" s="1"/>
  <c r="N73" i="2"/>
  <c r="Q73" i="2" s="1"/>
  <c r="N75" i="1"/>
  <c r="K80" i="2"/>
  <c r="L80" i="2"/>
  <c r="M80" i="2"/>
  <c r="N68" i="1"/>
  <c r="N72" i="1"/>
  <c r="N71" i="1"/>
  <c r="N74" i="1"/>
  <c r="K73" i="1"/>
  <c r="L73" i="1"/>
  <c r="N69" i="1"/>
  <c r="U69" i="1" s="1"/>
  <c r="N64" i="1"/>
  <c r="U64" i="1" s="1"/>
  <c r="N65" i="1"/>
  <c r="N67" i="1"/>
  <c r="N63" i="1"/>
  <c r="U63" i="1" s="1"/>
  <c r="N66" i="1"/>
  <c r="N70" i="1"/>
  <c r="U70" i="1" s="1"/>
  <c r="P49" i="1"/>
  <c r="P37" i="1"/>
  <c r="K62" i="1"/>
  <c r="L62" i="1"/>
  <c r="M62" i="1"/>
  <c r="K59" i="1"/>
  <c r="L59" i="1"/>
  <c r="M59" i="1"/>
  <c r="K61" i="1"/>
  <c r="L61" i="1"/>
  <c r="M61" i="1"/>
  <c r="K60" i="1"/>
  <c r="L60" i="1"/>
  <c r="M60" i="1"/>
  <c r="O71" i="2"/>
  <c r="P71" i="2" s="1"/>
  <c r="M71" i="2"/>
  <c r="L71" i="2"/>
  <c r="K71" i="2"/>
  <c r="O27" i="1"/>
  <c r="P27" i="1" s="1"/>
  <c r="M70" i="2"/>
  <c r="L70" i="2"/>
  <c r="K70" i="2"/>
  <c r="Q69" i="2"/>
  <c r="M69" i="2"/>
  <c r="L69" i="2"/>
  <c r="K69" i="2"/>
  <c r="Q68" i="2"/>
  <c r="M68" i="2"/>
  <c r="L68" i="2"/>
  <c r="K68" i="2"/>
  <c r="Q32" i="1"/>
  <c r="Q33" i="1"/>
  <c r="O65" i="1" l="1"/>
  <c r="U65" i="1" s="1"/>
  <c r="U76" i="1"/>
  <c r="U77" i="1"/>
  <c r="O74" i="1"/>
  <c r="P74" i="1" s="1"/>
  <c r="P69" i="1"/>
  <c r="O72" i="1"/>
  <c r="P72" i="1" s="1"/>
  <c r="O71" i="1"/>
  <c r="P71" i="1" s="1"/>
  <c r="Q75" i="1"/>
  <c r="U75" i="1" s="1"/>
  <c r="O66" i="1"/>
  <c r="P66" i="1" s="1"/>
  <c r="O68" i="1"/>
  <c r="P68" i="1" s="1"/>
  <c r="N69" i="2"/>
  <c r="O69" i="2" s="1"/>
  <c r="P69" i="2" s="1"/>
  <c r="O67" i="1"/>
  <c r="P67" i="1" s="1"/>
  <c r="N71" i="2"/>
  <c r="N80" i="2"/>
  <c r="O80" i="2" s="1"/>
  <c r="P80" i="2" s="1"/>
  <c r="N70" i="2"/>
  <c r="O70" i="2" s="1"/>
  <c r="P70" i="2" s="1"/>
  <c r="N68" i="2"/>
  <c r="O68" i="2" s="1"/>
  <c r="P68" i="2" s="1"/>
  <c r="N73" i="1"/>
  <c r="N60" i="1"/>
  <c r="N61" i="1"/>
  <c r="N59" i="1"/>
  <c r="N62" i="1"/>
  <c r="M53" i="1"/>
  <c r="L53" i="1"/>
  <c r="K53" i="1"/>
  <c r="M52" i="1"/>
  <c r="L52" i="1"/>
  <c r="K52" i="1"/>
  <c r="M58" i="1"/>
  <c r="L58" i="1"/>
  <c r="K58" i="1"/>
  <c r="M57" i="1"/>
  <c r="L57" i="1"/>
  <c r="K57" i="1"/>
  <c r="M56" i="1"/>
  <c r="L56" i="1"/>
  <c r="K56" i="1"/>
  <c r="M55" i="1"/>
  <c r="L55" i="1"/>
  <c r="K55" i="1"/>
  <c r="M54" i="1"/>
  <c r="L54" i="1"/>
  <c r="K54" i="1"/>
  <c r="J51" i="1"/>
  <c r="AF51" i="1" s="1"/>
  <c r="AG51" i="1" s="1"/>
  <c r="J50" i="1"/>
  <c r="AF50" i="1" s="1"/>
  <c r="AG50" i="1" s="1"/>
  <c r="U67" i="1" l="1"/>
  <c r="U68" i="1"/>
  <c r="W68" i="1" s="1"/>
  <c r="U71" i="1"/>
  <c r="U72" i="1"/>
  <c r="U74" i="1"/>
  <c r="U66" i="1"/>
  <c r="Q73" i="1"/>
  <c r="O73" i="1" s="1"/>
  <c r="U73" i="1" s="1"/>
  <c r="K50" i="1"/>
  <c r="L51" i="1"/>
  <c r="P75" i="1"/>
  <c r="P65" i="1"/>
  <c r="Q59" i="1"/>
  <c r="O59" i="1" s="1"/>
  <c r="U59" i="1" s="1"/>
  <c r="Q62" i="1"/>
  <c r="O62" i="1" s="1"/>
  <c r="U62" i="1" s="1"/>
  <c r="Q61" i="1"/>
  <c r="O61" i="1" s="1"/>
  <c r="U61" i="1" s="1"/>
  <c r="Q60" i="1"/>
  <c r="O60" i="1" s="1"/>
  <c r="U60" i="1" s="1"/>
  <c r="N53" i="1"/>
  <c r="N52" i="1"/>
  <c r="N58" i="1"/>
  <c r="N54" i="1"/>
  <c r="N57" i="1"/>
  <c r="M50" i="1"/>
  <c r="K51" i="1"/>
  <c r="N55" i="1"/>
  <c r="L50" i="1"/>
  <c r="N56" i="1"/>
  <c r="M51" i="1"/>
  <c r="M49" i="1"/>
  <c r="L49" i="1"/>
  <c r="K49" i="1"/>
  <c r="M66" i="2"/>
  <c r="L66" i="2"/>
  <c r="K66" i="2"/>
  <c r="J65" i="2"/>
  <c r="P73" i="1" l="1"/>
  <c r="O54" i="1"/>
  <c r="P54" i="1" s="1"/>
  <c r="O55" i="1"/>
  <c r="P55" i="1" s="1"/>
  <c r="N66" i="2"/>
  <c r="Q66" i="2" s="1"/>
  <c r="O66" i="2" s="1"/>
  <c r="P66" i="2" s="1"/>
  <c r="O52" i="1"/>
  <c r="P52" i="1" s="1"/>
  <c r="P60" i="1"/>
  <c r="P61" i="1"/>
  <c r="P62" i="1"/>
  <c r="P59" i="1"/>
  <c r="O57" i="1"/>
  <c r="P57" i="1" s="1"/>
  <c r="O58" i="1"/>
  <c r="P58" i="1" s="1"/>
  <c r="O56" i="1"/>
  <c r="P56" i="1" s="1"/>
  <c r="O53" i="1"/>
  <c r="P53" i="1" s="1"/>
  <c r="N49" i="1"/>
  <c r="N50" i="1"/>
  <c r="N51" i="1"/>
  <c r="L65" i="2"/>
  <c r="M65" i="2"/>
  <c r="K65" i="2"/>
  <c r="U58" i="1" l="1"/>
  <c r="U57" i="1"/>
  <c r="O50" i="1"/>
  <c r="P50" i="1" s="1"/>
  <c r="U53" i="1"/>
  <c r="U55" i="1"/>
  <c r="U52" i="1"/>
  <c r="W52" i="1" s="1"/>
  <c r="U54" i="1"/>
  <c r="U56" i="1"/>
  <c r="O51" i="1"/>
  <c r="P51" i="1" s="1"/>
  <c r="N65" i="2"/>
  <c r="Q65" i="2" s="1"/>
  <c r="Q49" i="1"/>
  <c r="U49" i="1" s="1"/>
  <c r="U50" i="1" l="1"/>
  <c r="U51" i="1"/>
  <c r="O65" i="2"/>
  <c r="P65" i="2" s="1"/>
  <c r="J59" i="2"/>
  <c r="Q58" i="2"/>
  <c r="M58" i="2"/>
  <c r="L58" i="2"/>
  <c r="K58" i="2"/>
  <c r="Q26" i="1"/>
  <c r="Q26" i="2"/>
  <c r="O26" i="2"/>
  <c r="P26" i="2" s="1"/>
  <c r="N58" i="2" l="1"/>
  <c r="O58" i="2" s="1"/>
  <c r="P58" i="2" s="1"/>
  <c r="K59" i="2"/>
  <c r="L59" i="2"/>
  <c r="M59" i="2"/>
  <c r="M56" i="2"/>
  <c r="L56" i="2"/>
  <c r="K56" i="2"/>
  <c r="M55" i="2"/>
  <c r="L55" i="2"/>
  <c r="K55" i="2"/>
  <c r="M54" i="2"/>
  <c r="L54" i="2"/>
  <c r="K54" i="2"/>
  <c r="Q48" i="2"/>
  <c r="M48" i="2"/>
  <c r="L48" i="2"/>
  <c r="K48" i="2"/>
  <c r="M53" i="2"/>
  <c r="L53" i="2"/>
  <c r="K53" i="2"/>
  <c r="M51" i="2"/>
  <c r="L51" i="2"/>
  <c r="K51" i="2"/>
  <c r="M50" i="2"/>
  <c r="L50" i="2"/>
  <c r="K50" i="2"/>
  <c r="M52" i="2"/>
  <c r="L52" i="2"/>
  <c r="K52" i="2"/>
  <c r="M48" i="1"/>
  <c r="L48" i="1"/>
  <c r="K48" i="1"/>
  <c r="M49" i="2"/>
  <c r="L49" i="2"/>
  <c r="K49" i="2"/>
  <c r="Q46" i="2"/>
  <c r="M46" i="2"/>
  <c r="L46" i="2"/>
  <c r="K46" i="2"/>
  <c r="Q46" i="1"/>
  <c r="Q44" i="2"/>
  <c r="M44" i="2"/>
  <c r="L44" i="2"/>
  <c r="K44" i="2"/>
  <c r="M47" i="1"/>
  <c r="L47" i="1"/>
  <c r="K47" i="1"/>
  <c r="J41" i="2"/>
  <c r="K41" i="2" s="1"/>
  <c r="N56" i="2" l="1"/>
  <c r="Q56" i="2" s="1"/>
  <c r="O56" i="2" s="1"/>
  <c r="P56" i="2" s="1"/>
  <c r="N54" i="2"/>
  <c r="O54" i="2" s="1"/>
  <c r="P54" i="2" s="1"/>
  <c r="N48" i="2"/>
  <c r="O48" i="2" s="1"/>
  <c r="P48" i="2" s="1"/>
  <c r="N55" i="2"/>
  <c r="Q55" i="2" s="1"/>
  <c r="O55" i="2" s="1"/>
  <c r="P55" i="2" s="1"/>
  <c r="N59" i="2"/>
  <c r="O59" i="2" s="1"/>
  <c r="P59" i="2" s="1"/>
  <c r="N53" i="2"/>
  <c r="O53" i="2" s="1"/>
  <c r="P53" i="2" s="1"/>
  <c r="N52" i="2"/>
  <c r="O52" i="2" s="1"/>
  <c r="P52" i="2" s="1"/>
  <c r="N49" i="2"/>
  <c r="N51" i="2"/>
  <c r="O51" i="2" s="1"/>
  <c r="P51" i="2" s="1"/>
  <c r="N50" i="2"/>
  <c r="O50" i="2" s="1"/>
  <c r="P50" i="2" s="1"/>
  <c r="N48" i="1"/>
  <c r="N46" i="2"/>
  <c r="O46" i="2" s="1"/>
  <c r="P46" i="2" s="1"/>
  <c r="N44" i="2"/>
  <c r="O44" i="2" s="1"/>
  <c r="P44" i="2" s="1"/>
  <c r="N47" i="1"/>
  <c r="M41" i="2"/>
  <c r="L41" i="2"/>
  <c r="O48" i="1" l="1"/>
  <c r="P48" i="1" s="1"/>
  <c r="Q47" i="1"/>
  <c r="O47" i="1" s="1"/>
  <c r="U47" i="1" s="1"/>
  <c r="O49" i="2"/>
  <c r="P49" i="2" s="1"/>
  <c r="U46" i="2"/>
  <c r="N41" i="2"/>
  <c r="O41" i="2" s="1"/>
  <c r="P41" i="2" s="1"/>
  <c r="M40" i="2"/>
  <c r="L40" i="2"/>
  <c r="K40" i="2"/>
  <c r="M39" i="2"/>
  <c r="L39" i="2"/>
  <c r="K39" i="2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U48" i="1" l="1"/>
  <c r="P47" i="1"/>
  <c r="N39" i="2"/>
  <c r="Q39" i="2" s="1"/>
  <c r="O39" i="2" s="1"/>
  <c r="P39" i="2" s="1"/>
  <c r="N40" i="2"/>
  <c r="Q40" i="2" s="1"/>
  <c r="O40" i="2" s="1"/>
  <c r="P40" i="2" s="1"/>
  <c r="N42" i="1"/>
  <c r="N45" i="1"/>
  <c r="U45" i="1" s="1"/>
  <c r="N46" i="1"/>
  <c r="N41" i="1"/>
  <c r="N44" i="1"/>
  <c r="N40" i="1"/>
  <c r="N43" i="1"/>
  <c r="M39" i="1"/>
  <c r="L39" i="1"/>
  <c r="K39" i="1"/>
  <c r="O43" i="1" l="1"/>
  <c r="U43" i="1" s="1"/>
  <c r="U44" i="1"/>
  <c r="O41" i="1"/>
  <c r="U41" i="1" s="1"/>
  <c r="O42" i="1"/>
  <c r="U42" i="1" s="1"/>
  <c r="P44" i="1"/>
  <c r="O40" i="1"/>
  <c r="P40" i="1" s="1"/>
  <c r="O46" i="1"/>
  <c r="P45" i="1"/>
  <c r="N39" i="1"/>
  <c r="K38" i="1"/>
  <c r="L38" i="1"/>
  <c r="M38" i="1"/>
  <c r="P46" i="1" l="1"/>
  <c r="P41" i="1"/>
  <c r="P42" i="1"/>
  <c r="P43" i="1"/>
  <c r="U46" i="1"/>
  <c r="U40" i="1"/>
  <c r="O39" i="1"/>
  <c r="P39" i="1" s="1"/>
  <c r="N38" i="1"/>
  <c r="M37" i="1"/>
  <c r="L37" i="1"/>
  <c r="K37" i="1"/>
  <c r="M36" i="1"/>
  <c r="L36" i="1"/>
  <c r="K36" i="1"/>
  <c r="M35" i="1"/>
  <c r="L35" i="1"/>
  <c r="K35" i="1"/>
  <c r="U39" i="1" l="1"/>
  <c r="Q38" i="1"/>
  <c r="U38" i="1" s="1"/>
  <c r="N36" i="1"/>
  <c r="U36" i="1" s="1"/>
  <c r="N37" i="1"/>
  <c r="N35" i="1"/>
  <c r="J34" i="1"/>
  <c r="AF34" i="1" s="1"/>
  <c r="Q37" i="1" l="1"/>
  <c r="U37" i="1" s="1"/>
  <c r="Q35" i="1"/>
  <c r="U35" i="1" s="1"/>
  <c r="K34" i="1"/>
  <c r="M34" i="1"/>
  <c r="L34" i="1"/>
  <c r="M33" i="1"/>
  <c r="L33" i="1"/>
  <c r="K33" i="1"/>
  <c r="M32" i="1"/>
  <c r="L32" i="1"/>
  <c r="K32" i="1"/>
  <c r="N32" i="1" l="1"/>
  <c r="N33" i="1"/>
  <c r="N34" i="1"/>
  <c r="K31" i="1"/>
  <c r="L31" i="1"/>
  <c r="M31" i="1"/>
  <c r="O34" i="1" l="1"/>
  <c r="P34" i="1" s="1"/>
  <c r="O33" i="1"/>
  <c r="P33" i="1" s="1"/>
  <c r="O32" i="1"/>
  <c r="P32" i="1" s="1"/>
  <c r="N31" i="1"/>
  <c r="J29" i="1"/>
  <c r="AF29" i="1" s="1"/>
  <c r="M30" i="1"/>
  <c r="L30" i="1"/>
  <c r="K30" i="1"/>
  <c r="K28" i="1"/>
  <c r="L28" i="1"/>
  <c r="M28" i="1"/>
  <c r="K27" i="1"/>
  <c r="L27" i="1"/>
  <c r="M27" i="1"/>
  <c r="K26" i="1"/>
  <c r="L26" i="1"/>
  <c r="M26" i="1"/>
  <c r="U32" i="1" l="1"/>
  <c r="U33" i="1"/>
  <c r="U34" i="1"/>
  <c r="M29" i="1"/>
  <c r="Q31" i="1"/>
  <c r="O31" i="1" s="1"/>
  <c r="U31" i="1" s="1"/>
  <c r="K29" i="1"/>
  <c r="L29" i="1"/>
  <c r="N30" i="1"/>
  <c r="N26" i="1"/>
  <c r="N28" i="1"/>
  <c r="N27" i="1"/>
  <c r="U27" i="1" s="1"/>
  <c r="M33" i="2"/>
  <c r="L33" i="2"/>
  <c r="K33" i="2"/>
  <c r="M32" i="2"/>
  <c r="L32" i="2"/>
  <c r="K32" i="2"/>
  <c r="O26" i="1" l="1"/>
  <c r="P26" i="1" s="1"/>
  <c r="P31" i="1"/>
  <c r="Q30" i="1"/>
  <c r="O30" i="1" s="1"/>
  <c r="U30" i="1" s="1"/>
  <c r="Q28" i="1"/>
  <c r="O28" i="1" s="1"/>
  <c r="P28" i="1" s="1"/>
  <c r="N33" i="2"/>
  <c r="Q33" i="2" s="1"/>
  <c r="O33" i="2" s="1"/>
  <c r="P33" i="2" s="1"/>
  <c r="N32" i="2"/>
  <c r="Q32" i="2" s="1"/>
  <c r="O32" i="2" s="1"/>
  <c r="P32" i="2" s="1"/>
  <c r="N29" i="1"/>
  <c r="Q16" i="2"/>
  <c r="M16" i="2"/>
  <c r="L16" i="2"/>
  <c r="K16" i="2"/>
  <c r="Q8" i="2"/>
  <c r="M8" i="2"/>
  <c r="L8" i="2"/>
  <c r="K8" i="2"/>
  <c r="U26" i="1" l="1"/>
  <c r="U28" i="1"/>
  <c r="P30" i="1"/>
  <c r="Q29" i="1"/>
  <c r="O29" i="1" s="1"/>
  <c r="P29" i="1" s="1"/>
  <c r="N16" i="2"/>
  <c r="O16" i="2" s="1"/>
  <c r="P16" i="2" s="1"/>
  <c r="N8" i="2"/>
  <c r="U29" i="1" l="1"/>
  <c r="O8" i="2"/>
  <c r="P8" i="2" s="1"/>
  <c r="M25" i="1" l="1"/>
  <c r="L25" i="1"/>
  <c r="K25" i="1"/>
  <c r="M24" i="1"/>
  <c r="L24" i="1"/>
  <c r="K24" i="1"/>
  <c r="K22" i="1"/>
  <c r="L22" i="1"/>
  <c r="M22" i="1"/>
  <c r="N25" i="1" l="1"/>
  <c r="N22" i="1"/>
  <c r="N24" i="1"/>
  <c r="Q25" i="1" l="1"/>
  <c r="U25" i="1" s="1"/>
  <c r="Q22" i="1"/>
  <c r="O22" i="1" s="1"/>
  <c r="P22" i="1" s="1"/>
  <c r="Q24" i="1"/>
  <c r="O24" i="1" s="1"/>
  <c r="U24" i="1" s="1"/>
  <c r="L21" i="1"/>
  <c r="K21" i="1"/>
  <c r="U22" i="1" l="1"/>
  <c r="P24" i="1"/>
  <c r="M21" i="1"/>
  <c r="N21" i="1" s="1"/>
  <c r="O21" i="1" l="1"/>
  <c r="U21" i="1" s="1"/>
  <c r="K20" i="1"/>
  <c r="L20" i="1"/>
  <c r="M20" i="1"/>
  <c r="P21" i="1" l="1"/>
  <c r="N20" i="1"/>
  <c r="K23" i="1"/>
  <c r="L23" i="1"/>
  <c r="M23" i="1"/>
  <c r="K19" i="1"/>
  <c r="L19" i="1"/>
  <c r="M19" i="1"/>
  <c r="K18" i="1"/>
  <c r="L18" i="1"/>
  <c r="M18" i="1"/>
  <c r="K17" i="1"/>
  <c r="L17" i="1"/>
  <c r="M17" i="1"/>
  <c r="Q20" i="1" l="1"/>
  <c r="O20" i="1" s="1"/>
  <c r="P20" i="1" s="1"/>
  <c r="N23" i="1"/>
  <c r="N19" i="1"/>
  <c r="N18" i="1"/>
  <c r="N17" i="1"/>
  <c r="M31" i="2"/>
  <c r="L31" i="2"/>
  <c r="K31" i="2"/>
  <c r="M29" i="2"/>
  <c r="L29" i="2"/>
  <c r="K29" i="2"/>
  <c r="M28" i="2"/>
  <c r="L28" i="2"/>
  <c r="K28" i="2"/>
  <c r="U20" i="1" l="1"/>
  <c r="N28" i="2"/>
  <c r="O28" i="2" s="1"/>
  <c r="P28" i="2" s="1"/>
  <c r="N31" i="2"/>
  <c r="O31" i="2" s="1"/>
  <c r="P31" i="2" s="1"/>
  <c r="N29" i="2"/>
  <c r="O29" i="2" s="1"/>
  <c r="P29" i="2" s="1"/>
  <c r="Q17" i="1"/>
  <c r="O17" i="1" s="1"/>
  <c r="P17" i="1" s="1"/>
  <c r="Q19" i="1"/>
  <c r="Q18" i="1"/>
  <c r="O18" i="1" s="1"/>
  <c r="U18" i="1" s="1"/>
  <c r="Q23" i="1"/>
  <c r="O23" i="1" s="1"/>
  <c r="U23" i="1" s="1"/>
  <c r="O23" i="2"/>
  <c r="P23" i="2" s="1"/>
  <c r="O22" i="2"/>
  <c r="P22" i="2" s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O19" i="1" l="1"/>
  <c r="U19" i="1" s="1"/>
  <c r="U17" i="1"/>
  <c r="P23" i="1"/>
  <c r="P18" i="1"/>
  <c r="N14" i="1"/>
  <c r="N16" i="1"/>
  <c r="N12" i="1"/>
  <c r="N15" i="1"/>
  <c r="N11" i="1"/>
  <c r="N13" i="1"/>
  <c r="P19" i="1" l="1"/>
  <c r="O12" i="1"/>
  <c r="P12" i="1" s="1"/>
  <c r="O14" i="1"/>
  <c r="P14" i="1" s="1"/>
  <c r="O13" i="1"/>
  <c r="P13" i="1" s="1"/>
  <c r="O11" i="1"/>
  <c r="P11" i="1" s="1"/>
  <c r="Q15" i="1"/>
  <c r="O15" i="1" s="1"/>
  <c r="U15" i="1" s="1"/>
  <c r="Q16" i="1"/>
  <c r="O16" i="1" s="1"/>
  <c r="U16" i="1" s="1"/>
  <c r="M26" i="2"/>
  <c r="L26" i="2"/>
  <c r="K26" i="2"/>
  <c r="M27" i="2"/>
  <c r="L27" i="2"/>
  <c r="K27" i="2"/>
  <c r="M10" i="1"/>
  <c r="L10" i="1"/>
  <c r="K10" i="1"/>
  <c r="M25" i="2"/>
  <c r="L25" i="2"/>
  <c r="K25" i="2"/>
  <c r="U14" i="1" l="1"/>
  <c r="W14" i="1" s="1"/>
  <c r="U13" i="1"/>
  <c r="W13" i="1" s="1"/>
  <c r="U12" i="1"/>
  <c r="W12" i="1" s="1"/>
  <c r="U11" i="1"/>
  <c r="W11" i="1" s="1"/>
  <c r="N26" i="2"/>
  <c r="N27" i="2"/>
  <c r="O27" i="2" s="1"/>
  <c r="P27" i="2" s="1"/>
  <c r="P16" i="1"/>
  <c r="P15" i="1"/>
  <c r="N10" i="1"/>
  <c r="N25" i="2"/>
  <c r="O25" i="2" s="1"/>
  <c r="P25" i="2" s="1"/>
  <c r="O10" i="1" l="1"/>
  <c r="P10" i="1" s="1"/>
  <c r="J9" i="1"/>
  <c r="AF9" i="1" s="1"/>
  <c r="AG9" i="1" s="1"/>
  <c r="J8" i="1"/>
  <c r="AF8" i="1" s="1"/>
  <c r="AG8" i="1" s="1"/>
  <c r="U10" i="1" l="1"/>
  <c r="L8" i="1"/>
  <c r="K8" i="1"/>
  <c r="M8" i="1"/>
  <c r="K9" i="1"/>
  <c r="L9" i="1"/>
  <c r="M9" i="1"/>
  <c r="AG359" i="1" l="1"/>
  <c r="N8" i="1"/>
  <c r="N9" i="1"/>
  <c r="J24" i="2"/>
  <c r="M24" i="2" s="1"/>
  <c r="M7" i="1"/>
  <c r="L7" i="1"/>
  <c r="K7" i="1"/>
  <c r="O8" i="1" l="1"/>
  <c r="P8" i="1" s="1"/>
  <c r="O9" i="1"/>
  <c r="P9" i="1" s="1"/>
  <c r="L24" i="2"/>
  <c r="N7" i="1"/>
  <c r="K24" i="2"/>
  <c r="M23" i="2"/>
  <c r="L23" i="2"/>
  <c r="K23" i="2"/>
  <c r="M22" i="2"/>
  <c r="L22" i="2"/>
  <c r="K22" i="2"/>
  <c r="M21" i="2"/>
  <c r="L21" i="2"/>
  <c r="K21" i="2"/>
  <c r="J20" i="2"/>
  <c r="Q19" i="2"/>
  <c r="J19" i="2"/>
  <c r="M18" i="2"/>
  <c r="L18" i="2"/>
  <c r="K18" i="2"/>
  <c r="M15" i="2"/>
  <c r="L15" i="2"/>
  <c r="K15" i="2"/>
  <c r="M14" i="2"/>
  <c r="L14" i="2"/>
  <c r="K14" i="2"/>
  <c r="M13" i="2"/>
  <c r="L13" i="2"/>
  <c r="K13" i="2"/>
  <c r="Q11" i="2"/>
  <c r="M11" i="2"/>
  <c r="L11" i="2"/>
  <c r="K11" i="2"/>
  <c r="Q12" i="2"/>
  <c r="M12" i="2"/>
  <c r="L12" i="2"/>
  <c r="K12" i="2"/>
  <c r="J326" i="2" l="1"/>
  <c r="U8" i="1"/>
  <c r="U9" i="1"/>
  <c r="M19" i="2"/>
  <c r="Q7" i="1"/>
  <c r="O7" i="1" s="1"/>
  <c r="P7" i="1" s="1"/>
  <c r="N12" i="2"/>
  <c r="O12" i="2" s="1"/>
  <c r="P12" i="2" s="1"/>
  <c r="N24" i="2"/>
  <c r="O24" i="2" s="1"/>
  <c r="P24" i="2" s="1"/>
  <c r="N23" i="2"/>
  <c r="Q23" i="2"/>
  <c r="N14" i="2"/>
  <c r="Q14" i="2" s="1"/>
  <c r="O14" i="2" s="1"/>
  <c r="P14" i="2" s="1"/>
  <c r="N22" i="2"/>
  <c r="Q22" i="2"/>
  <c r="N15" i="2"/>
  <c r="O15" i="2" s="1"/>
  <c r="P15" i="2" s="1"/>
  <c r="N13" i="2"/>
  <c r="Q13" i="2" s="1"/>
  <c r="O13" i="2" s="1"/>
  <c r="P13" i="2" s="1"/>
  <c r="N18" i="2"/>
  <c r="O18" i="2" s="1"/>
  <c r="P18" i="2" s="1"/>
  <c r="N21" i="2"/>
  <c r="O21" i="2" s="1"/>
  <c r="P21" i="2" s="1"/>
  <c r="K20" i="2"/>
  <c r="L20" i="2"/>
  <c r="M20" i="2"/>
  <c r="K19" i="2"/>
  <c r="L19" i="2"/>
  <c r="N11" i="2"/>
  <c r="O11" i="2" s="1"/>
  <c r="P11" i="2" s="1"/>
  <c r="U7" i="1" l="1"/>
  <c r="N19" i="2"/>
  <c r="O19" i="2" s="1"/>
  <c r="P19" i="2" s="1"/>
  <c r="N20" i="2"/>
  <c r="O20" i="2" s="1"/>
  <c r="P20" i="2" s="1"/>
  <c r="M9" i="2"/>
  <c r="L9" i="2"/>
  <c r="K9" i="2"/>
  <c r="M10" i="2"/>
  <c r="L10" i="2"/>
  <c r="K10" i="2"/>
  <c r="M7" i="2"/>
  <c r="L7" i="2"/>
  <c r="K7" i="2"/>
  <c r="M6" i="2"/>
  <c r="L6" i="2"/>
  <c r="K6" i="2"/>
  <c r="M5" i="2"/>
  <c r="L5" i="2"/>
  <c r="K5" i="2"/>
  <c r="N5" i="2" l="1"/>
  <c r="Q5" i="2" s="1"/>
  <c r="O5" i="2" s="1"/>
  <c r="P5" i="2" s="1"/>
  <c r="N7" i="2"/>
  <c r="Q7" i="2" s="1"/>
  <c r="O7" i="2" s="1"/>
  <c r="P7" i="2" s="1"/>
  <c r="N6" i="2"/>
  <c r="Q6" i="2" s="1"/>
  <c r="O6" i="2" s="1"/>
  <c r="P6" i="2" s="1"/>
  <c r="N10" i="2"/>
  <c r="O10" i="2" s="1"/>
  <c r="P10" i="2" s="1"/>
  <c r="N9" i="2"/>
  <c r="O9" i="2" s="1"/>
  <c r="P9" i="2" s="1"/>
  <c r="J5" i="1" l="1"/>
  <c r="AF5" i="1" s="1"/>
  <c r="M4" i="2"/>
  <c r="L4" i="2"/>
  <c r="K4" i="2"/>
  <c r="M3" i="2"/>
  <c r="L3" i="2"/>
  <c r="K3" i="2"/>
  <c r="M2" i="2"/>
  <c r="L2" i="2"/>
  <c r="K2" i="2"/>
  <c r="J4" i="1"/>
  <c r="AF4" i="1" s="1"/>
  <c r="M326" i="2" l="1"/>
  <c r="L326" i="2"/>
  <c r="K326" i="2"/>
  <c r="N4" i="2"/>
  <c r="Q4" i="2" s="1"/>
  <c r="O4" i="2" s="1"/>
  <c r="P4" i="2" s="1"/>
  <c r="N2" i="2"/>
  <c r="N3" i="2"/>
  <c r="Q3" i="2" s="1"/>
  <c r="J2" i="1"/>
  <c r="J354" i="1" s="1"/>
  <c r="AF2" i="1" l="1"/>
  <c r="J359" i="1"/>
  <c r="N326" i="2"/>
  <c r="Q326" i="2"/>
  <c r="AF359" i="1"/>
  <c r="O3" i="2"/>
  <c r="P3" i="2" s="1"/>
  <c r="O2" i="2"/>
  <c r="C2" i="20"/>
  <c r="O326" i="2" l="1"/>
  <c r="P2" i="2"/>
  <c r="W75" i="1"/>
  <c r="W77" i="1"/>
  <c r="W76" i="1" l="1"/>
  <c r="W72" i="1"/>
  <c r="W74" i="1"/>
  <c r="W73" i="1"/>
  <c r="W69" i="1"/>
  <c r="W71" i="1"/>
  <c r="W70" i="1"/>
  <c r="W67" i="1"/>
  <c r="W65" i="1"/>
  <c r="W66" i="1"/>
  <c r="W63" i="1" l="1"/>
  <c r="W59" i="1" l="1"/>
  <c r="W62" i="1" l="1"/>
  <c r="W60" i="1" l="1"/>
  <c r="W58" i="1"/>
  <c r="W61" i="1"/>
  <c r="W53" i="1"/>
  <c r="W55" i="1"/>
  <c r="W57" i="1"/>
  <c r="W56" i="1"/>
  <c r="W54" i="1" l="1"/>
  <c r="W51" i="1"/>
  <c r="W50" i="1"/>
  <c r="W48" i="1" l="1"/>
  <c r="W47" i="1"/>
  <c r="W49" i="1"/>
  <c r="W46" i="1"/>
  <c r="W41" i="1"/>
  <c r="W43" i="1"/>
  <c r="W42" i="1"/>
  <c r="W40" i="1"/>
  <c r="W39" i="1"/>
  <c r="W37" i="1"/>
  <c r="W38" i="1"/>
  <c r="W31" i="1" l="1"/>
  <c r="W33" i="1"/>
  <c r="W35" i="1"/>
  <c r="W34" i="1"/>
  <c r="W32" i="1" l="1"/>
  <c r="W30" i="1" l="1"/>
  <c r="W29" i="1"/>
  <c r="W28" i="1" l="1"/>
  <c r="W26" i="1" l="1"/>
  <c r="W25" i="1" l="1"/>
  <c r="W10" i="1" l="1"/>
  <c r="W16" i="1"/>
  <c r="W9" i="1" l="1"/>
  <c r="W8" i="1"/>
  <c r="K6" i="1" l="1"/>
  <c r="M5" i="1"/>
  <c r="K3" i="1"/>
  <c r="L3" i="1"/>
  <c r="M3" i="1"/>
  <c r="C9" i="20"/>
  <c r="C7" i="20"/>
  <c r="C5" i="20"/>
  <c r="C4" i="20"/>
  <c r="C8" i="20"/>
  <c r="C10" i="20"/>
  <c r="C6" i="20"/>
  <c r="N3" i="1" l="1"/>
  <c r="L5" i="1"/>
  <c r="K5" i="1"/>
  <c r="K4" i="1"/>
  <c r="M6" i="1"/>
  <c r="L4" i="1"/>
  <c r="L6" i="1"/>
  <c r="M4" i="1"/>
  <c r="Q3" i="1" l="1"/>
  <c r="O3" i="1" s="1"/>
  <c r="P3" i="1" s="1"/>
  <c r="N6" i="1"/>
  <c r="N5" i="1"/>
  <c r="N4" i="1"/>
  <c r="U3" i="1" l="1"/>
  <c r="W3" i="1" s="1"/>
  <c r="O4" i="1"/>
  <c r="U4" i="1" s="1"/>
  <c r="W4" i="1" s="1"/>
  <c r="O5" i="1"/>
  <c r="O6" i="1"/>
  <c r="P6" i="1" s="1"/>
  <c r="W15" i="1"/>
  <c r="W18" i="1"/>
  <c r="W19" i="1"/>
  <c r="W21" i="1"/>
  <c r="W20" i="1"/>
  <c r="W22" i="1"/>
  <c r="W24" i="1"/>
  <c r="W23" i="1"/>
  <c r="W17" i="1"/>
  <c r="M2" i="1"/>
  <c r="L2" i="1"/>
  <c r="K2" i="1"/>
  <c r="C3" i="20"/>
  <c r="L354" i="1" l="1"/>
  <c r="L359" i="1" s="1"/>
  <c r="M354" i="1"/>
  <c r="M359" i="1" s="1"/>
  <c r="K354" i="1"/>
  <c r="K359" i="1" s="1"/>
  <c r="U5" i="1"/>
  <c r="W5" i="1" s="1"/>
  <c r="P5" i="1"/>
  <c r="U6" i="1"/>
  <c r="W6" i="1" s="1"/>
  <c r="W7" i="1"/>
  <c r="N2" i="1"/>
  <c r="P4" i="1"/>
  <c r="D6" i="20"/>
  <c r="E6" i="20" s="1"/>
  <c r="D8" i="20"/>
  <c r="E8" i="20" s="1"/>
  <c r="D9" i="20"/>
  <c r="D5" i="20"/>
  <c r="E5" i="20" s="1"/>
  <c r="D7" i="20"/>
  <c r="E7" i="20" s="1"/>
  <c r="D10" i="20"/>
  <c r="D2" i="20"/>
  <c r="E2" i="20" s="1"/>
  <c r="B11" i="20"/>
  <c r="N354" i="1" l="1"/>
  <c r="N359" i="1" s="1"/>
  <c r="Q2" i="1"/>
  <c r="D3" i="20"/>
  <c r="E3" i="20" s="1"/>
  <c r="D4" i="20"/>
  <c r="E4" i="20" s="1"/>
  <c r="C11" i="20"/>
  <c r="E10" i="20"/>
  <c r="E9" i="20"/>
  <c r="Q354" i="1" l="1"/>
  <c r="Q359" i="1" s="1"/>
  <c r="O2" i="1"/>
  <c r="D11" i="20"/>
  <c r="O354" i="1" l="1"/>
  <c r="O359" i="1" s="1"/>
  <c r="P2" i="1"/>
  <c r="P354" i="1" s="1"/>
  <c r="U2" i="1"/>
  <c r="U359" i="1" s="1"/>
  <c r="A3" i="1"/>
  <c r="A4" i="1" s="1"/>
  <c r="A5" i="1" s="1"/>
  <c r="A6" i="1" s="1"/>
  <c r="A7" i="1" s="1"/>
  <c r="A8" i="1" s="1"/>
  <c r="A9" i="1" s="1"/>
  <c r="A10" i="1" s="1"/>
  <c r="A11" i="1" l="1"/>
  <c r="A12" i="1" s="1"/>
  <c r="A13" i="1" s="1"/>
  <c r="A14" i="1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l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15" i="1"/>
  <c r="A16" i="1" s="1"/>
  <c r="W2" i="1"/>
  <c r="W359" i="1" s="1"/>
  <c r="A17" i="1" l="1"/>
  <c r="A18" i="1" s="1"/>
  <c r="A19" i="1" s="1"/>
  <c r="A20" i="1" s="1"/>
  <c r="A21" i="1" s="1"/>
  <c r="A22" i="1" l="1"/>
  <c r="A23" i="1" s="1"/>
  <c r="A24" i="1" s="1"/>
  <c r="A25" i="1" s="1"/>
  <c r="A26" i="1" s="1"/>
  <c r="A27" i="1" s="1"/>
  <c r="A28" i="1" s="1"/>
  <c r="A29" i="1" s="1"/>
  <c r="A30" i="1" l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l="1"/>
  <c r="A53" i="1" l="1"/>
  <c r="A54" i="1" s="1"/>
  <c r="A55" i="1" s="1"/>
  <c r="A56" i="1" s="1"/>
  <c r="A57" i="1" s="1"/>
  <c r="A58" i="1" s="1"/>
  <c r="A59" i="1" s="1"/>
  <c r="A60" i="1" s="1"/>
  <c r="A61" i="1" l="1"/>
  <c r="A62" i="1" s="1"/>
  <c r="A63" i="1" l="1"/>
  <c r="A64" i="1" s="1"/>
  <c r="A65" i="1" s="1"/>
  <c r="A66" i="1" s="1"/>
  <c r="A67" i="1" s="1"/>
  <c r="A68" i="1" s="1"/>
  <c r="A69" i="1" s="1"/>
  <c r="A70" i="1" s="1"/>
  <c r="A71" i="1" l="1"/>
  <c r="A72" i="1" s="1"/>
  <c r="A73" i="1" s="1"/>
  <c r="A74" i="1" s="1"/>
  <c r="A75" i="1" s="1"/>
  <c r="A76" i="1" s="1"/>
  <c r="A77" i="1" s="1"/>
  <c r="A78" i="1" l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l="1"/>
  <c r="A159" i="1" s="1"/>
  <c r="A160" i="1" s="1"/>
  <c r="A161" i="1" s="1"/>
  <c r="A162" i="1" s="1"/>
  <c r="A163" i="1" s="1"/>
  <c r="A164" i="1" s="1"/>
  <c r="A165" i="1" s="1"/>
  <c r="A166" i="1" s="1"/>
  <c r="A167" i="1" l="1"/>
  <c r="A168" i="1" s="1"/>
  <c r="A169" i="1" s="1"/>
  <c r="A170" i="1" s="1"/>
  <c r="A171" i="1" s="1"/>
  <c r="A172" i="1" s="1"/>
  <c r="A173" i="1" l="1"/>
  <c r="A174" i="1" s="1"/>
  <c r="A175" i="1" s="1"/>
  <c r="A176" i="1" l="1"/>
  <c r="A177" i="1" s="1"/>
  <c r="A178" i="1" s="1"/>
  <c r="A179" i="1" s="1"/>
  <c r="A180" i="1" s="1"/>
  <c r="A181" i="1" l="1"/>
  <c r="A182" i="1" s="1"/>
  <c r="A183" i="1" s="1"/>
  <c r="A184" i="1" l="1"/>
  <c r="A185" i="1" s="1"/>
  <c r="A186" i="1" l="1"/>
  <c r="A187" i="1" s="1"/>
  <c r="A188" i="1" l="1"/>
  <c r="A189" i="1" s="1"/>
  <c r="A190" i="1" s="1"/>
  <c r="A191" i="1" s="1"/>
  <c r="A192" i="1" l="1"/>
  <c r="A193" i="1" s="1"/>
  <c r="A194" i="1" s="1"/>
  <c r="A195" i="1" s="1"/>
  <c r="A196" i="1" s="1"/>
  <c r="A197" i="1" s="1"/>
  <c r="A198" i="1" s="1"/>
  <c r="A199" i="1" s="1"/>
  <c r="A200" i="1" l="1"/>
  <c r="A201" i="1" s="1"/>
  <c r="A202" i="1" s="1"/>
  <c r="A203" i="1" s="1"/>
  <c r="A204" i="1" s="1"/>
  <c r="A205" i="1" l="1"/>
  <c r="A206" i="1" s="1"/>
  <c r="A207" i="1" s="1"/>
  <c r="A208" i="1" s="1"/>
  <c r="A209" i="1" s="1"/>
  <c r="A210" i="1" s="1"/>
  <c r="A211" i="1" l="1"/>
  <c r="A212" i="1" l="1"/>
  <c r="A213" i="1" s="1"/>
  <c r="A214" i="1" s="1"/>
  <c r="A215" i="1" s="1"/>
  <c r="A216" i="1" s="1"/>
  <c r="A217" i="1" s="1"/>
  <c r="A218" i="1" s="1"/>
  <c r="A219" i="1" s="1"/>
  <c r="A220" i="1" s="1"/>
  <c r="A221" i="1" s="1"/>
  <c r="A222" i="1" l="1"/>
  <c r="A223" i="1" l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l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O361" i="1" l="1"/>
  <c r="P361" i="1" s="1"/>
</calcChain>
</file>

<file path=xl/sharedStrings.xml><?xml version="1.0" encoding="utf-8"?>
<sst xmlns="http://schemas.openxmlformats.org/spreadsheetml/2006/main" count="5773" uniqueCount="1007">
  <si>
    <t>Sl No</t>
  </si>
  <si>
    <t>INV RAISED MONTH</t>
  </si>
  <si>
    <t>INV. DATE</t>
  </si>
  <si>
    <t>INV. NO</t>
  </si>
  <si>
    <t>CUSTOMER NAME</t>
  </si>
  <si>
    <t>DETAILS</t>
  </si>
  <si>
    <t>BILL AMOUNT</t>
  </si>
  <si>
    <t>TOTAL BILL AMOUNT</t>
  </si>
  <si>
    <t>TDS</t>
  </si>
  <si>
    <t>% TDS</t>
  </si>
  <si>
    <t>TOTAL AMOUNT RECEIVED</t>
  </si>
  <si>
    <t>AMOUNT RECEIVED DATE</t>
  </si>
  <si>
    <t>CHQ NO</t>
  </si>
  <si>
    <t>BANK NAME</t>
  </si>
  <si>
    <t>BALANCE AMOUNT TO BE RECEIVED</t>
  </si>
  <si>
    <t>REMARK</t>
  </si>
  <si>
    <t>Pending</t>
  </si>
  <si>
    <t>CHQ. RECEIVED MONTH</t>
  </si>
  <si>
    <t>01-Apr</t>
  </si>
  <si>
    <t>Tata Projects Limited</t>
  </si>
  <si>
    <t>Mundra Solar PV Ltd</t>
  </si>
  <si>
    <t>CGST @ 9%</t>
  </si>
  <si>
    <t>SGST @ 9%</t>
  </si>
  <si>
    <t>CUSTOMER GST Number</t>
  </si>
  <si>
    <t>TPL-SSGIPL JV Project</t>
  </si>
  <si>
    <t>Remarks</t>
  </si>
  <si>
    <t>SHREE THIRUMALA TIRUPATI TRADING CO</t>
  </si>
  <si>
    <t>SHREE SIYARAM TRADING CO</t>
  </si>
  <si>
    <t>SHREE RADHA KRISHNA TRADING CO</t>
  </si>
  <si>
    <t>Mundra Solar Energy Limited</t>
  </si>
  <si>
    <t>HSN Code</t>
  </si>
  <si>
    <t>SHREE RAGHAVENDRA TRADING CO</t>
  </si>
  <si>
    <t>Date of Receipt</t>
  </si>
  <si>
    <t>998399</t>
  </si>
  <si>
    <t>36AAACN5094N1ZZ</t>
  </si>
  <si>
    <t>Novartis Healthcare Pvt. Ltd</t>
  </si>
  <si>
    <t>Mundra Solar Technology Ltd</t>
  </si>
  <si>
    <t>36AAACS9267J1ZV</t>
  </si>
  <si>
    <t>SANDOZ PRIVATE LIMITED</t>
  </si>
  <si>
    <t>ADANI WATER LIMITED</t>
  </si>
  <si>
    <t>Grand Total</t>
  </si>
  <si>
    <t>Balance</t>
  </si>
  <si>
    <t>TDS Certificate Value</t>
  </si>
  <si>
    <t>Client Name</t>
  </si>
  <si>
    <t>Row Labels</t>
  </si>
  <si>
    <t>Sum of BILL AMOUNT</t>
  </si>
  <si>
    <t>KUTCH COPPER LTD</t>
  </si>
  <si>
    <t>IGST @ 18%</t>
  </si>
  <si>
    <t>State Code</t>
  </si>
  <si>
    <t>TATA PROJECTS LIMITED</t>
  </si>
  <si>
    <t>MUNDRA SOLAR ENERGY LIMITED</t>
  </si>
  <si>
    <t>KAIRA - MAHANTH DESIGNERS PRIVATE LIMTED</t>
  </si>
  <si>
    <t>KAIRA - MAHARAJA D'SIGNERS &amp; GARMENTS (INDIA) PRIVATE LIMITED</t>
  </si>
  <si>
    <t>MUNDRA SOLAR PV LTD</t>
  </si>
  <si>
    <t>MUNDRA SOLAR TECHNOLOGY LTD</t>
  </si>
  <si>
    <t>NOVARTIS HEALTHCARE PVT. LTD</t>
  </si>
  <si>
    <t>TPL-SSGIPL JV PROJECT</t>
  </si>
  <si>
    <t>ADANI ELECTRICITY MUMBAI LIMITED</t>
  </si>
  <si>
    <t>Bill Amount as on June-24</t>
  </si>
  <si>
    <t>ADANI TRANSMISSION STEP-SEVEN LIMITED</t>
  </si>
  <si>
    <t>ADANI NEW INDUSTRIES LTD</t>
  </si>
  <si>
    <t>ADANI INFRA INDIA LIMITED</t>
  </si>
  <si>
    <t>ADANI TRANSMISSION STEP-SIX LIMITED</t>
  </si>
  <si>
    <t>ADANI TRANSMISSION STEP-EIGHT LIMITED</t>
  </si>
  <si>
    <t>HRTS2526001</t>
  </si>
  <si>
    <t>HRTS2526002</t>
  </si>
  <si>
    <t>HRTS2526003</t>
  </si>
  <si>
    <t>Towards Professional fee for providing RPO for the month of April-25
26 Recruiters @ Rs.72,050/- PPPM.
1 Staffing Coordinator @ 53,350/- PPPM and 6 Sr. Specialist Recruiter @99,751/- PPPM</t>
  </si>
  <si>
    <t xml:space="preserve">a) Towards Reimbursement of Mobile Bill &amp; Wifi Charges upto Rs. 800/- Per Month Per Candidate for the Month of March-2025. </t>
  </si>
  <si>
    <t>Towards Professional fee for providing Recruitment Process Outsourcing Services for the month of April-2025 a) One Lead. Recruiter @ Rs.1,09,000/-, One Recruitment Business Partner @ Rs. 1,33,333/- &amp; Two Sr. Recruitment Business Partner @ Rs 1,58,333/- per person per month</t>
  </si>
  <si>
    <t>998513</t>
  </si>
  <si>
    <t>HRTS2425325</t>
  </si>
  <si>
    <t>24AAICA2707K1ZT</t>
  </si>
  <si>
    <t>Invoice for the month of March-2025 111 associates towards Manpower Deployment Charges for at M/s: Adani Adani Infra India Limited., @ Tirupati, Vijayawada, Visakhapatnam, Maharastra &amp; Uttrakhand Locations</t>
  </si>
  <si>
    <t>NEFT</t>
  </si>
  <si>
    <t>YES BANK</t>
  </si>
  <si>
    <t>April-25</t>
  </si>
  <si>
    <t>HRTS2425323</t>
  </si>
  <si>
    <t>36AAJCM7672A1ZE</t>
  </si>
  <si>
    <t>Invoice for the month of March-2025 towards Manpower Deployment Charges for 29 Employees  at M/s: Mundra Solar PV Ltd., @ Kasipet, Bhupalpally, Mandamarri &amp; Kothagudem</t>
  </si>
  <si>
    <t>PNB</t>
  </si>
  <si>
    <t>HRTS2425324</t>
  </si>
  <si>
    <t>Invoice for the month of March-2025 towards Manpower Deployment Charges for Mr. KARUNAKAR POTHULA - HR at M/s: Mundra Solar PV Ltd., @ Mandamarri</t>
  </si>
  <si>
    <t>HRTS2526004</t>
  </si>
  <si>
    <t>ADANI INFRA (INDIA) LIMITED</t>
  </si>
  <si>
    <t>Invoice for the month of March-2025 towards Manpower Deployment Charges for 4 Employees posted at M/s: ADANI INFRA (INDIA) LIMITED</t>
  </si>
  <si>
    <t>HRTS2425332</t>
  </si>
  <si>
    <t>24AAJCM7672A2ZI</t>
  </si>
  <si>
    <t xml:space="preserve">Invoice for the month of March-2025 towards Manpower Deployment Charges for 1197 Employees at M/s: MSPL &amp; Additional Supervisor Cost of Rs. 60,000/- </t>
  </si>
  <si>
    <t>HRTS2425333</t>
  </si>
  <si>
    <t>Towards Exgratia to Fixed Term Contract Employees for the month of March-2025</t>
  </si>
  <si>
    <t>HRTS2425341</t>
  </si>
  <si>
    <t>Invoice for the month of March-2025 towards Manpower Deployment Charges for 7 Projects Employees posted at M/s: Mundra Solar PV Ltd</t>
  </si>
  <si>
    <t>HRTS2425334</t>
  </si>
  <si>
    <t>24AANCM0140K1ZL</t>
  </si>
  <si>
    <t>Invoice for the month of March-2025 towards Manpower Deployment Charges for 1075 Employees at M/s: MSEL &amp; Additional Supervisor Cost of Rs. 80,000/-</t>
  </si>
  <si>
    <t>SBI BANK</t>
  </si>
  <si>
    <t>Remarks2</t>
  </si>
  <si>
    <t>HRTS2425329</t>
  </si>
  <si>
    <t>27AAYCA2395M1ZR</t>
  </si>
  <si>
    <t>Invoice for the month of March-2025 towards Manpower Deployment Charges for 33 assocaites at M/s: Adani Transmission Step-Six Limited., @ Maharastra Package 6 Locations</t>
  </si>
  <si>
    <t>BARCLAYS BANK</t>
  </si>
  <si>
    <t>HRTS2425330</t>
  </si>
  <si>
    <t>Invoice for the month of March-2025 towards Manpower Deployment Charges for 35 assocaites at M/s: Adani Transmission Step-Six Limited., @ Maharastra Package 7 Locations</t>
  </si>
  <si>
    <t>HRTS2425337</t>
  </si>
  <si>
    <t>24AAOCM6584A1ZD</t>
  </si>
  <si>
    <t>RBL BANK</t>
  </si>
  <si>
    <t>HRTS2425336</t>
  </si>
  <si>
    <t>Invoice for the month of March-2025 towards Manpower Deployment Charges for 361 Employees at M/s: ANIL</t>
  </si>
  <si>
    <t>HRTS2425326</t>
  </si>
  <si>
    <t>37AAYCA2343P1ZW</t>
  </si>
  <si>
    <t>Invoice for the month of March-2025 towards Manpower Deployment Charges for 761 assocaites at M/s: Adani Transmission Step-Seven Limited., @ Vijyawada Location</t>
  </si>
  <si>
    <t>HRTS2425327</t>
  </si>
  <si>
    <t>Invoice for the month of March-2025 towards Manpower Deployment Charges for 904 assocaites at M/s: Adani Transmission Step-Seven Limited., @ Vizag Location</t>
  </si>
  <si>
    <t>HRTS2425331</t>
  </si>
  <si>
    <t>05AAYCA2339K1Z9</t>
  </si>
  <si>
    <t>Invoice for the month of March-2025 towards Manpower Deployment Charges for 266 assocaites at M/s: Adani Transmission Step-Eight Limited., @ Uttrakhand Locations</t>
  </si>
  <si>
    <t>HRTS2425335</t>
  </si>
  <si>
    <t>HRTS2425338</t>
  </si>
  <si>
    <t>Invoice for the month of March-2025 towards Manpower Deployment Charges for 6 Employees at M/s: MSEL R&amp;D Department</t>
  </si>
  <si>
    <t>HRTS2425328</t>
  </si>
  <si>
    <t>Invoice for the month of March-2025 towards Manpower Deployment Charges for 1063 assocaites at M/s: Adani Transmission Step-Seven Limited., @ Tirupati Location</t>
  </si>
  <si>
    <t>HRTS2425279</t>
  </si>
  <si>
    <t>Towards Professional fee for providing Recruitment Process Outsourcing Services for the month of February-2025 a) Two Lead. Recruiter @ Rs.1,09,000/-, One Recruitment Business Partner @ Rs. 1,33,333/- &amp; Two Sr. Recruitment Business Partner @ Rs 1,58,333/- per person per month</t>
  </si>
  <si>
    <t>Citi Bank</t>
  </si>
  <si>
    <t>BUILDCAST SOLUTIONS PRIVATE LIMITED</t>
  </si>
  <si>
    <t>24AAMCB8765E1ZF</t>
  </si>
  <si>
    <t>HRTS2526005</t>
  </si>
  <si>
    <t>Invoice for the month of March-2025 towards Manpower Deployment Charges for 51 Employees posted at M/s: BUILDCAST SOLUTIONS PRIVATE LIMITED</t>
  </si>
  <si>
    <t>998311</t>
  </si>
  <si>
    <t>HRTS2425316</t>
  </si>
  <si>
    <t>36AAJCM7344M1ZW</t>
  </si>
  <si>
    <t>Professional fee towards for Providing Allied HR, Payroll and Statutory Compliance Services for the month of February-2025</t>
  </si>
  <si>
    <t>HRTS2425298</t>
  </si>
  <si>
    <t>10AARCA7117J1ZP</t>
  </si>
  <si>
    <t>Invoice for the month of February-2025 towards Manpower Deployment Charges for 1 Employees  at M/s: ADANI WATER LIMITED., @ Bhagalpur Site</t>
  </si>
  <si>
    <t>Central Bank</t>
  </si>
  <si>
    <t>HRTS2425317</t>
  </si>
  <si>
    <t>36AAACT4119L2Z8</t>
  </si>
  <si>
    <t>Invoice for the month of March-2025 towards supply of outsourced manpower for 513 Employees Posted at TPL including OT, TA, Arrears &amp; All Allowances</t>
  </si>
  <si>
    <t>HRTS2425319</t>
  </si>
  <si>
    <t>Invoice towards Full &amp; Final Settlement to employees who left in the month of March-2025</t>
  </si>
  <si>
    <t>24AAICK7003N1ZE</t>
  </si>
  <si>
    <t>HRTS2526006</t>
  </si>
  <si>
    <t>Invoice for the month of March-2025 towards Manpower Deployment Charges for 6
Employee’s at M/s: KUTCH COPPER LTD @ Mundra Location</t>
  </si>
  <si>
    <t>HRTS2425315</t>
  </si>
  <si>
    <t>36AALCM8884E1ZW</t>
  </si>
  <si>
    <t>ICICI BANK</t>
  </si>
  <si>
    <t>HRTS2526007</t>
  </si>
  <si>
    <t>HRTS2526008</t>
  </si>
  <si>
    <t>Professional fee towards for Providing Allied HR, Payroll and Statutory Compliance Services for the month of March-2025</t>
  </si>
  <si>
    <t>HRTS2526009</t>
  </si>
  <si>
    <t>HRTS2425339</t>
  </si>
  <si>
    <t>Invoice for the month of March-2025 towards Manpower Deployment Charges for 28 Employees at M/s: MSEL @ Techno Commercial Team Department</t>
  </si>
  <si>
    <t>Towards Professional fee for providing Recruitment Process Outsourcing Services for the month of April-2025 (Ms. SIRIKONDA VARSHINI) 1 Recruiter @ Rs. 72,050/- per person per month</t>
  </si>
  <si>
    <t>HRTS2425340</t>
  </si>
  <si>
    <t>Invoice for the month of March-2025 towards Manpower Deployment Charges for 41 Employees at M/s: MSPL @ Techno Commercial Team Department</t>
  </si>
  <si>
    <t>HRTS2425318</t>
  </si>
  <si>
    <t>21AAGAT0852Q1Z8</t>
  </si>
  <si>
    <t>Invoice for the month of March-2025 towards supply of outsourced manpower for 2 Employee for SG-SSGIPL-340526-BHUBANESWAR Project.</t>
  </si>
  <si>
    <t>HRTS2526010</t>
  </si>
  <si>
    <t>HRTS2526011</t>
  </si>
  <si>
    <t>HRTS2526012</t>
  </si>
  <si>
    <t>HRTS2526013</t>
  </si>
  <si>
    <t>36AANPB8401B1Z7</t>
  </si>
  <si>
    <t>36ADEFS8753K1ZG</t>
  </si>
  <si>
    <t>36ACZFS8516Q1ZS</t>
  </si>
  <si>
    <t>36AERFS8335K1Z7</t>
  </si>
  <si>
    <t>Professional fee towards for Providing Allied HR, Payroll and Statutory Compliance Services for the month of Nov-24 to Mar-25</t>
  </si>
  <si>
    <t>HRTS2526014</t>
  </si>
  <si>
    <t>HRTS2526015</t>
  </si>
  <si>
    <t>Invoice for the month of April-2025 towards Manpower Deployment Charges for 28 Employees  at M/s: Mundra Solar PV Ltd., @ Kasipet, Bhupalpally, Mandamarri &amp; Kothagudem</t>
  </si>
  <si>
    <t>Invoice for the month of April-2025 towards Manpower Deployment Charges for Mr. KARUNAKAR POTHULA - HR at M/s: Mundra Solar PV Ltd., @ Mandamarri</t>
  </si>
  <si>
    <t>16-04-2025
30-04-2025</t>
  </si>
  <si>
    <t>Only GST Amount Received on 16-04-25 for Rs. 48,83,692/-, Rs. 2,70,50,225 Balance amount received on 30-04-2025</t>
  </si>
  <si>
    <t>Only GST Amount Received on 16-04-25 for Rs. 45,710/-, Rs. 25,31,85 Balance amount received on 30-04-2025</t>
  </si>
  <si>
    <t>HRTS2425321</t>
  </si>
  <si>
    <t>Invoice for the month of March-2025 towards Manpower Deployment Charges for 1 Employees  at M/s: ADANI WATER LIMITED., @ Bhagalpur Site</t>
  </si>
  <si>
    <t>HRTS2425322</t>
  </si>
  <si>
    <t>Excess TDS Payment Deducted Amount Received</t>
  </si>
  <si>
    <t>HRTS2526019</t>
  </si>
  <si>
    <t>02-May</t>
  </si>
  <si>
    <t>HRTS2526020</t>
  </si>
  <si>
    <t>Invoice for the month of April-2025 towards Manpower Deployment Charges for 36 Employees at M/s: MSPL @ DTA Department</t>
  </si>
  <si>
    <t>HRTS2526021</t>
  </si>
  <si>
    <t>Invoice for the month of April-2025 towards Manpower Deployment Charges for 5 Employees posted at M/s: ADANI INFRA (INDIA) LIMITED</t>
  </si>
  <si>
    <t>HRTS2526022</t>
  </si>
  <si>
    <t>HRTS2526023</t>
  </si>
  <si>
    <t>HRTS2526024</t>
  </si>
  <si>
    <t>04-04-2025
02-05-2025</t>
  </si>
  <si>
    <t>GST amount received on 02-05-2025</t>
  </si>
  <si>
    <t>08-04-2025
02-05-2025</t>
  </si>
  <si>
    <t>May-25</t>
  </si>
  <si>
    <t>Invoice for the month of April-2025 towards Manpower Deployment Charges for 1001 Employees at M/s: MSEL &amp; Additional Supervisor Cost of Rs. 80,000/-</t>
  </si>
  <si>
    <t>Invoice for the month of APRIL 2025 towards Manpower Deployment Charges for 30 assocaites at M/s: MUNDRA SOLAR ENERGY LIMITED., Rework</t>
  </si>
  <si>
    <t>Invoice for the month of April-2025 towards Manpower Deployment Charges for 338 Employees at M/s: ANIL</t>
  </si>
  <si>
    <t xml:space="preserve">Invoice for the month of April-2025 towards Manpower Deployment Charges for 1134 Employees at M/s: MSPL &amp; Additional Supervisor Cost of Rs. 60,000/- </t>
  </si>
  <si>
    <t>HRTS2526025</t>
  </si>
  <si>
    <t>HRTS2526026</t>
  </si>
  <si>
    <t>HRTS2526027</t>
  </si>
  <si>
    <t>Invoice for the month of April-2025 towards Manpower Deployment Charges for 27 Employees at M/s: MSEL @ Techno Commercial Team Department</t>
  </si>
  <si>
    <t>Invoice for the month of April-2025 towards Manpower Deployment Charges for 41 Employees at M/s: MSPL @ Techno Commercial Team Department</t>
  </si>
  <si>
    <t>Invoice for the month of April-2025 towards Manpower Deployment Charges for 7 Projects Employees posted at M/s: Mundra Solar PV Ltd</t>
  </si>
  <si>
    <t>Invoice for the month of April 2025 towards Manpower Deployment Charges at M/s: ADANI NEW INDUSTRIES LTD., INCENTIVE (302 Associates)</t>
  </si>
  <si>
    <t>Invoice for the month of April 2025 towards Manpower Deployment Charges at M/s: MUNDRA SOLAR ENERGY LIMITED., INCENTIVE (796 Associates)</t>
  </si>
  <si>
    <t>Invoice for the month of April 2025 towards Manpower Deployment Charges at M/s: MUNDRA SOLAR PV LTD., INCENTIVE (908 Associates)</t>
  </si>
  <si>
    <t>HRTS/2526017</t>
  </si>
  <si>
    <t>HRTS/2526016</t>
  </si>
  <si>
    <t>HRTS/2526018</t>
  </si>
  <si>
    <t>HRTS2526028</t>
  </si>
  <si>
    <t>HRTS2526029</t>
  </si>
  <si>
    <t xml:space="preserve">a) Towards Reimbursement of Mobile Bill &amp; Wifi Charges upto Rs. 800/- Per Month Per Candidate for the Month of April-2025. </t>
  </si>
  <si>
    <t>Towards Professional fee for providing RPO for the month of May-25
28 Recruiters @ Rs.72,050/- PPPM.
1 Staffing Coordinator @ 53,350/- PPPM and 6 Sr. Specialist Recruiter @99,751/- PPPM</t>
  </si>
  <si>
    <t xml:space="preserve">a) Towards Food and travel reimbursement - Hiring Drive to Mr. Syed Umar HRTS9134 Rs. 5,064/- &amp; Mr. RAJESH GOUD JONNAGANI HRTS9125 Rs. 5,107/- </t>
  </si>
  <si>
    <t>HRTS2526030</t>
  </si>
  <si>
    <t>HRTS2526031</t>
  </si>
  <si>
    <t>HRTS2526032</t>
  </si>
  <si>
    <t>Invoice for the month of April-2025 towards Manpower Deployment Charges for 1 Employees  at M/s: ADANI WATER LIMITED., @ Bhagalpur Site</t>
  </si>
  <si>
    <t>HRTS2526033</t>
  </si>
  <si>
    <t>Towards Professional fee for providing Recruitment Process Outsourcing Services for the month of May-2025 a) One Lead. Recruiter @ Rs.1,09,000/-, One Recruitment Business Partner @ Rs. 1,33,333/- &amp; Two Sr. Recruitment Business Partner @ Rs 1,58,333/- per person per month</t>
  </si>
  <si>
    <t>HRTS2526034</t>
  </si>
  <si>
    <t>HRTS2526035</t>
  </si>
  <si>
    <t>HRTS2526036</t>
  </si>
  <si>
    <t>HRTS2526037</t>
  </si>
  <si>
    <t>Invoice for the month of April-2025 towards supply of outsourced manpower for 502 Employees Posted at TPL including OT, TA, Arrears &amp; All Allowances</t>
  </si>
  <si>
    <t>Invoice for the month of April-2025 towards supply of outsourced manpower for 1 Employee for SG-SSGIPL-340526-BHUBANESWAR Project.</t>
  </si>
  <si>
    <t>Invoice towards Full &amp; Final Settlement to employees who left in the month of April-2025</t>
  </si>
  <si>
    <t>Invoice for the month of Feb-25, Mar-25 &amp; April-25 towards Overseas Allowance for the 31 Employees working at Nepal T&amp;D BU.</t>
  </si>
  <si>
    <t>HRTS2526038</t>
  </si>
  <si>
    <t>Invoice for the month of April-2025 towards Manpower Deployment Charges for 103 Employees posted at M/s: BUILDCAST SOLUTIONS PRIVATE LIMITED</t>
  </si>
  <si>
    <t>HRTS2526039</t>
  </si>
  <si>
    <t>HRTS2526040</t>
  </si>
  <si>
    <t>HRTS2526041</t>
  </si>
  <si>
    <t>HRTS2526042</t>
  </si>
  <si>
    <t>HRTS2526043</t>
  </si>
  <si>
    <t>HRTS2526044</t>
  </si>
  <si>
    <t>HRTS2526045</t>
  </si>
  <si>
    <t>Invoice for the month of April-2025 towards Manpower Deployment Charges for 626 associates at M/s: Adani Transmission Step-Seven Limited., @ Vijayawada Location</t>
  </si>
  <si>
    <t>Invoice for the month of April-2025 84 associates towards Manpower Deployment Charges for at M/s: Adani Adani Infra India Limited., @ Tirupati, Vijayawada, Visakhapatnam, Maharashtra &amp; Uttarakhand Locations</t>
  </si>
  <si>
    <t>Invoice for the month of April-2025 towards Manpower Deployment Charges for 662 associates at M/s: Adani Transmission Step-Seven Limited., @ Vizag Location</t>
  </si>
  <si>
    <t xml:space="preserve">Invoice for the month of April-2025 towards Manpower Deployment Charges for 818 associates at M/s: Adani Transmission Step-Seven Limited., @ Tirupati Location </t>
  </si>
  <si>
    <t>Invoice for the month of April-2025 towards Manpower Deployment Charges for 37 associates at M/s: Adani Transmission Step-Six Limited., @ Maharashtra Package 6 Locations</t>
  </si>
  <si>
    <t xml:space="preserve"> Invoice for the month of April-2025 towards Manpower Deployment Charges for 36 associates at M/s: Adani Transmission Step-Six Limited., @ Maharashtra Package 7 Locations</t>
  </si>
  <si>
    <t>Invoice for the month of April-2025 towards Manpower Deployment Charges for 157 associates at M/s: Adani Transmission Step-Eight Limited., @ Uttrakhand Locations</t>
  </si>
  <si>
    <t>HRTS2425309</t>
  </si>
  <si>
    <t>Towards Professional fee for providing Recruitment Process Outsourcing Services for the month of March-2025 a) Two Lead. Recruiter @ Rs.1,09,000/-, One Recruitment Business Partner @ Rs. 1,33,333/- &amp; Two Sr. Recruitment Business Partner @ Rs 1,58,333/- per person per month</t>
  </si>
  <si>
    <t>HRTS2526046</t>
  </si>
  <si>
    <t>Invoice for the month of April-2025 towards Manpower Deployment Charges for 6
Employee’s at M/s: KUTCH COPPER LTD @ Mundra Location</t>
  </si>
  <si>
    <t>BARC</t>
  </si>
  <si>
    <t>HRTS2526047</t>
  </si>
  <si>
    <t>Towards Professional fee for providing Recruitment Process Outsourcing Services for the month of May-2025 (Ms. NAINIKA PRASAD) 1 Recruiter @ Rs. 72,050/- per person per month</t>
  </si>
  <si>
    <t>HDFC</t>
  </si>
  <si>
    <t>24-04-2025
15-05-2025</t>
  </si>
  <si>
    <t>GST amount for Rs. 9160 is Received on 15-05-2025 along with Inv No: HRTS2526035</t>
  </si>
  <si>
    <t>HRTS2425277</t>
  </si>
  <si>
    <t>Towards Professional fee for providing RPO for the month of February-25
27 Recruiters @ Rs.72,050/- PPPM.
1 Staffing Coordinator @ 53,350/- PPPM and 6 Sr. Specialist Recruiter @99,751/- PPPM</t>
  </si>
  <si>
    <t>HRTS2425278</t>
  </si>
  <si>
    <t xml:space="preserve">a) Towards Reimbursement of Mobile Bill &amp; Wifi Charges upto Rs. 800/- Per Month Per Candidate for the Month of January-2025. </t>
  </si>
  <si>
    <t>HRTS2425307</t>
  </si>
  <si>
    <t>Towards Professional fee for providing RPO for the month of March-25
26 Recruiters @ Rs.72,050/- PPPM.
1 Staffing Coordinator @ 53,350/- PPPM and 6 Sr. Specialist Recruiter @99,751/- PPPM</t>
  </si>
  <si>
    <t>HRTS2425308</t>
  </si>
  <si>
    <t xml:space="preserve">a) Towards Reimbursement of Mobile Bill &amp; Wifi Charges upto Rs. 800/- Per Month Per Candidate for the Month of February-2025. </t>
  </si>
  <si>
    <t>HRTS2425320</t>
  </si>
  <si>
    <t>Towards Professional fee for providing Recruitment Process Outsourcing Services for the month of March-2025 (Ms. PARIMI PRATHYUSHA) 1 Recruiter @ Rs. 72,050/- per person per month</t>
  </si>
  <si>
    <t>HRTS2526048</t>
  </si>
  <si>
    <t>Invoice for the month of Feb-25, Mar-25 &amp; April-25 towards Overseas Allowance for the 68 Employees working at Nepal T&amp;D BU.</t>
  </si>
  <si>
    <t>HRTS2526049</t>
  </si>
  <si>
    <t>HRTS2526050</t>
  </si>
  <si>
    <t>Professional fee towards for Providing Allied HR, Payroll and Statutory Compliance Services for the month of April-2025</t>
  </si>
  <si>
    <t>HRTS2526051</t>
  </si>
  <si>
    <t>HRTS2526053</t>
  </si>
  <si>
    <t>HRTS2526054</t>
  </si>
  <si>
    <t>HRTS2526055</t>
  </si>
  <si>
    <t>HRTS2526056</t>
  </si>
  <si>
    <t>HRTS2526057</t>
  </si>
  <si>
    <t>Invoice for the month of April-2025 22 associates arrear payments for at M/s: Adani Adani Infra India Limited., @ Tirupati,  Visakhapatnam, Maharashtra &amp; Uttarakhand Locations</t>
  </si>
  <si>
    <t>Invoice for the month of April-2025 towards arrear payments for 26 associates at M/s: Adani Transmission Step-Seven Limited., @ Vizag Location</t>
  </si>
  <si>
    <t xml:space="preserve">Invoice for the month of April-2025 towards arrear payments for 28 associates at M/s: Adani Transmission Step-Seven Limited., @ Tirupati Location </t>
  </si>
  <si>
    <t>Invoice for the month of April-2025 towards arrear payments for 36 associates at M/s: Adani Transmission Step-Six Limited., @ Maharashtra Package 6 Locations</t>
  </si>
  <si>
    <t xml:space="preserve"> Invoice for the month of April-2025 towards arrear payments for 36 associates at M/s: Adani Transmission Step-Six Limited., @ Maharashtra Package 7 Locations</t>
  </si>
  <si>
    <t>Invoice for the month of April-2025 towards arrear payments for 51 associates at M/s: Adani Transmission Step-Eight Limited., @ Uttrakhand Locations</t>
  </si>
  <si>
    <t>HRTS2526052</t>
  </si>
  <si>
    <t>Invoice for the month of May-2025 towards Manpower Deployment Charges for 29 Employees  at M/s: Mundra Solar PV Ltd., @ Kasipet, Bhupalpally, Mandamarri &amp; Kothagudem</t>
  </si>
  <si>
    <t>HRTS2526058</t>
  </si>
  <si>
    <t>HRTS2526059</t>
  </si>
  <si>
    <t>HRTS2526060</t>
  </si>
  <si>
    <t>HRTS2526061</t>
  </si>
  <si>
    <t>RENEWSYS INDIA PRIVATE LIMITED</t>
  </si>
  <si>
    <t>998519</t>
  </si>
  <si>
    <t>36AAGCP2384M2ZX</t>
  </si>
  <si>
    <t>Invoice for the month of May 2025 towards Manpower Supply Charges at M/s: RENEWSYS INDIA PRIVATE LIMITED</t>
  </si>
  <si>
    <t>Invoice for Good Work Pay for the month of May 2025 towards Manpower Supply Charges at M/s: RENEWSYS INDIA PRIVATE LIMITED</t>
  </si>
  <si>
    <t>HRTS2526062</t>
  </si>
  <si>
    <t>HRTS2526063</t>
  </si>
  <si>
    <t>HRTS2526064</t>
  </si>
  <si>
    <t>HRTS2526065</t>
  </si>
  <si>
    <t>HRTS2526066</t>
  </si>
  <si>
    <t>HRTS2526067</t>
  </si>
  <si>
    <t>HRTS2526068</t>
  </si>
  <si>
    <t>Invoice for the month of May-2025 towards Manpower Deployment Charges for 41 Employees at M/s: MSPL @ Techno Commercial Team Department</t>
  </si>
  <si>
    <t>Invoice for the month of May-2025 towards Manpower Deployment Charges for 7 Projects Employees posted at M/s: Mundra Solar PV Ltd</t>
  </si>
  <si>
    <t>Invoice for the month of May-2025 towards Manpower Deployment Charges for 137 Employees at M/s: ANIL</t>
  </si>
  <si>
    <t>Invoice for the month of May-2025 towards Manpower Deployment Charges for 33 Employees at M/s: MSPL @ DTA Department</t>
  </si>
  <si>
    <t xml:space="preserve">Invoice for the month of May-2025 towards Manpower Deployment Charges for 1312 Employees at M/s: MSPL &amp; Additional Supervisor Cost of Rs. 60,000/- </t>
  </si>
  <si>
    <t>Invoice for the month of May-2025 towards Manpower Deployment Charges for 1065 Employees at M/s: MSEL &amp; Additional Supervisor Cost of Rs. 80,000/-</t>
  </si>
  <si>
    <t>03-June</t>
  </si>
  <si>
    <t>HRTS2526070</t>
  </si>
  <si>
    <t>HRTS2526071</t>
  </si>
  <si>
    <t>Invoice for the month of May-2025 towards Manpower Deployment Charges for 1 Employees  at M/s: ADANI WATER LIMITED., @ Bhagalpur Site</t>
  </si>
  <si>
    <t>HRTS2526072</t>
  </si>
  <si>
    <t>HRTS2526073</t>
  </si>
  <si>
    <t>Towards Professional fee for providing RPO for the month of June-25
28 Recruiters @ Rs.72,050/- PPPM.
1 Staffing Coordinator @ 53,350/- PPPM and 6 Sr. Specialist Recruiter @99,751/- PPPM</t>
  </si>
  <si>
    <t>HRTS2526069</t>
  </si>
  <si>
    <t>Invoice for the month of May-2025 towards Manpower Deployment Charges for 7 Employees at M/s: MSEL @ Techno Commercial Team Department</t>
  </si>
  <si>
    <t>Invoice for the month of May-2025 towards Manpower Deployment Charges for 19 Employees at M/s: MSEL @ Techno Commercial Team Department</t>
  </si>
  <si>
    <t>HRTS2526074</t>
  </si>
  <si>
    <t>Invoice for the month of May-2025 towards Manpower Deployment Charges for 6 Employees posted at M/s: ADANI INFRA (INDIA) LIMITED</t>
  </si>
  <si>
    <t>HRTS2526075</t>
  </si>
  <si>
    <t>Invoice for the month of May-2025 towards Manpower Deployment Charges for 233 Employees posted at M/s: BUILDCAST SOLUTIONS PRIVATE LIMITED</t>
  </si>
  <si>
    <t>10-05-2025
03-06-2025</t>
  </si>
  <si>
    <t>Rs. 17709 Received on 03-06-2025</t>
  </si>
  <si>
    <t>Rs. 22473 Received on 03-06-2025</t>
  </si>
  <si>
    <t>Federal Bank</t>
  </si>
  <si>
    <t>GST Payment of Rs. 1,08,746/- Received on 06-06-2025</t>
  </si>
  <si>
    <t>GST Payment of Rs. 31,87,793/- received on 06-06-2025</t>
  </si>
  <si>
    <t>27-05-2025
06-06-2025</t>
  </si>
  <si>
    <t>GST On Hold for Rs. 2,40,649 Received on 06-06-2025</t>
  </si>
  <si>
    <t>GST is amount for Rs. 40,76,456/- received on 06-06-2025</t>
  </si>
  <si>
    <t>GST Payment of Rs. 4,59,890.63/- received on 06-06-2025</t>
  </si>
  <si>
    <t>HRTS2526076</t>
  </si>
  <si>
    <t>Towards Professional fee for providing Recruitment Process Outsourcing Services for the month of June-2025 a) One Lead. Recruiter @ Rs.1,09,000/-, One Recruitment Business Partner @ Rs. 1,33,333/- &amp; Two Sr. Recruitment Business Partner @ Rs 1,58,333/- per person per month</t>
  </si>
  <si>
    <t>HRTS2526077</t>
  </si>
  <si>
    <t>Invoice for the month of May-2025 towards Manpower Deployment Charges for 6
Employee’s at M/s: KUTCH COPPER LTD @ Mundra Location</t>
  </si>
  <si>
    <t>HRTS2526078</t>
  </si>
  <si>
    <t>HRTS2526079</t>
  </si>
  <si>
    <t>HRTS2526080</t>
  </si>
  <si>
    <t>HRTS2526081</t>
  </si>
  <si>
    <t>HRTS2526082</t>
  </si>
  <si>
    <t>HRTS2526083</t>
  </si>
  <si>
    <t>HRTS2526084</t>
  </si>
  <si>
    <t>Invoice for the month of May-2025 77 associates towards Manpower Deployment Charges for at M/s: Adani Adani Infra India Limited., @ Tirupati, Vijayawada, Visakhapatnam, Maharashtra &amp; Uttarakhand Locations</t>
  </si>
  <si>
    <t>Invoice for the month of May-2025 towards Manpower Deployment Charges for 198 associates at M/s: Adani Transmission Step-Seven Limited., @ Vijayawada Location</t>
  </si>
  <si>
    <t>Invoice for the month of May-2025 towards Manpower Deployment Charges for 75 associates at M/s: Adani Transmission Step-Seven Limited., @ Vizag Location</t>
  </si>
  <si>
    <t xml:space="preserve">Invoice for the month of May-2025 towards Manpower Deployment Charges for 391 associates at M/s: Adani Transmission Step-Seven Limited., @ Tirupati Location </t>
  </si>
  <si>
    <t>Invoice for the month of May-2025 towards Manpower Deployment Charges for 31 associates at M/s: Adani Transmission Step-Six Limited., @ Maharashtra Package 6 Locations</t>
  </si>
  <si>
    <t xml:space="preserve"> Invoice for the month of May-2025 towards Manpower Deployment Charges for 35 associates at M/s: Adani Transmission Step-Six Limited., @ Maharashtra Package 7 Locations</t>
  </si>
  <si>
    <t>Invoice for the month of May-2025 towards Manpower Deployment Charges for 100 associates at M/s: Adani Transmission Step-Eight Limited., @ Uttrakhand Locations</t>
  </si>
  <si>
    <t>HRTS2526085</t>
  </si>
  <si>
    <t>HRTS2526086</t>
  </si>
  <si>
    <t>HRTS2526087</t>
  </si>
  <si>
    <t>HRTS2526088</t>
  </si>
  <si>
    <t>Invoice for the month of May-2025 towards RPM Services at M/s: Adani Transmission Step-Seven Limited., @ Vijayawada Location</t>
  </si>
  <si>
    <t>Invoice for the month of May-2025 towards RPM Services at M/s: Adani Transmission Step-Seven Limited., @ Vizag Location</t>
  </si>
  <si>
    <t xml:space="preserve">Invoice for the month of May-2025 towards RPM Services at M/s: Adani Transmission Step-Seven Limited., @ Tirupati Location </t>
  </si>
  <si>
    <t>Invoice for the month of May-2025 towards RPM Services at M/s: Adani Transmission Step-Eight Limited., @ Uttrakhand Locations</t>
  </si>
  <si>
    <t>HRTS2425314</t>
  </si>
  <si>
    <t>Invoice for the month of February-2025 towards Manpower Deployment Charges for 6
Employee’s at M/s: KUTCH COPPER LTD @ Mundra Location</t>
  </si>
  <si>
    <t>06-06-2025
10-06-2025</t>
  </si>
  <si>
    <t>GST Payment of Rs. 38,628/- received on 06-06-2025 &amp; Rs. 2,10,307 received on 10-06-2025</t>
  </si>
  <si>
    <t>HRTS2526089</t>
  </si>
  <si>
    <t>HRTS2526090</t>
  </si>
  <si>
    <t>HRTS2526091</t>
  </si>
  <si>
    <t>Invoice for the month of May-2025 towards supply of outsourced manpower for 1 Employee for SG-SSGIPL-340526-BHUBANESWAR Project.</t>
  </si>
  <si>
    <t>Invoice towards Full &amp; Final Settlement to employees who left in the month of May-2025</t>
  </si>
  <si>
    <t>Invoice for the month of May-2025 towards supply of outsourced manpower for 493 Employees Posted at TPL including OT, TA, Arrears &amp; All Allowances</t>
  </si>
  <si>
    <t>10-05-2025
11-06-2025</t>
  </si>
  <si>
    <t>Rs. 167839/- received towards excess TDS Deduction amount</t>
  </si>
  <si>
    <t>Rs. 114364 received towards excess TDS Deduction amount</t>
  </si>
  <si>
    <t>Rs. 225149 received towards excess TDS Deduction amount</t>
  </si>
  <si>
    <t>Advance Payment Received for Rs. 30,763 along with GST hold amount of Rs. 9160.38</t>
  </si>
  <si>
    <t>HRTS2526092</t>
  </si>
  <si>
    <t>Credit Note towards Invoice No : HRTS2526077</t>
  </si>
  <si>
    <t>HRTS2526093</t>
  </si>
  <si>
    <t>HRTS2526094</t>
  </si>
  <si>
    <t>HRTS2526095</t>
  </si>
  <si>
    <t>Invoice towards: Other professional, technical and business services nowhere else classified for the month of May-2025 at M/s: ADANI TRANSMISSION STEP-SEVEN LIMITED,  @ Vijayawada Location</t>
  </si>
  <si>
    <t>Invoice towards: Other professional, technical and business services nowhere else classified for the month of May-2025 at M/s: ADANI TRANSMISSION STEP-SEVEN LIMITED,  @ Vizag Location</t>
  </si>
  <si>
    <t xml:space="preserve">Invoice towards: Other professional, technical and business services nowhere else classified for the month of May-2025 at M/s: ADANI TRANSMISSION STEP-SEVEN LIMITED,  @ Tirupati Location </t>
  </si>
  <si>
    <t>HRTS2526096</t>
  </si>
  <si>
    <t>HRTS2526097</t>
  </si>
  <si>
    <t>Professional fee towards for Providing Allied HR, Payroll and Statutory Compliance Services for the month of May-2025</t>
  </si>
  <si>
    <t>HRTS2526098</t>
  </si>
  <si>
    <t>Towards Professional fee for providing Recruitment Process Outsourcing Services for the month of June-2025 (Mrs. KRITI SHUKLA) 1 Sr. Recruitment Business Partner @ Rs. 1,58,333/- per person per month</t>
  </si>
  <si>
    <t>HRTS2526099</t>
  </si>
  <si>
    <t>Invoice for the month of June-2025 towards Manpower Deployment Charges for 29 Employees  at M/s: Mundra Solar PV Ltd., @ Kasipet, Bhupalpally, Mandamarri &amp; Kothagudem</t>
  </si>
  <si>
    <t>Salaries Payable</t>
  </si>
  <si>
    <t>PF Payable</t>
  </si>
  <si>
    <t>ESIC Payable</t>
  </si>
  <si>
    <t>PT Payable</t>
  </si>
  <si>
    <t>Others If Any</t>
  </si>
  <si>
    <t>Total Payable</t>
  </si>
  <si>
    <t>Gross Service Revenue</t>
  </si>
  <si>
    <t>06-05-2025
25-06-2025</t>
  </si>
  <si>
    <t>GST On Hold for Rs. 22,848 Received on 26-06-2025</t>
  </si>
  <si>
    <t>09-05-2025
25-06-2025</t>
  </si>
  <si>
    <t>GST On Hold for Rs. 45,550 Received on 25-06-2025</t>
  </si>
  <si>
    <t>Total Rs. 96,786/- Received on 25-06-2025</t>
  </si>
  <si>
    <t>Service Charge</t>
  </si>
  <si>
    <t>Hiring Charges</t>
  </si>
  <si>
    <t>Service Charge @ 375/- Per Person Per Month</t>
  </si>
  <si>
    <t>HRTS2526100</t>
  </si>
  <si>
    <t>HRTS2526101</t>
  </si>
  <si>
    <t>HRTS2526102</t>
  </si>
  <si>
    <t>Invoice for the month of June-2025 towards Manpower Deployment Charges for 7 Projects Employees posted at M/s: Mundra Solar PV Ltd</t>
  </si>
  <si>
    <t>Invoice for the month of June-2025 towards Manpower Deployment Charges for 26 Employees at M/s: MSEL @ Techno Commercial Team Department</t>
  </si>
  <si>
    <t>Invoice for the month of June-2025 towards Manpower Deployment Charges for 40 Employees at M/s: MSPL @ Techno Commercial Team Department</t>
  </si>
  <si>
    <t>HRTS2526103</t>
  </si>
  <si>
    <t>HRTS2526104</t>
  </si>
  <si>
    <t>HRTS2526105</t>
  </si>
  <si>
    <t>Invoice for the month of June-2025 towards Manpower Deployment Charges for 151 Employees at M/s: ANIL</t>
  </si>
  <si>
    <t>HRTS2526106</t>
  </si>
  <si>
    <t>Invoice for the month of June-2025 towards Manpower Deployment Charges for 33 Employees at M/s: MSPL @ DTA Department</t>
  </si>
  <si>
    <t>HRTS2526107</t>
  </si>
  <si>
    <t>HRTS2526108</t>
  </si>
  <si>
    <t>HRTS2526109</t>
  </si>
  <si>
    <t>HRTS2526110</t>
  </si>
  <si>
    <t>HRTS2526111</t>
  </si>
  <si>
    <t>HRTS2526112</t>
  </si>
  <si>
    <t>Invoice for the month of June 2025 towards Manpower Supply Charges at M/s: RENEWSYS INDIA PRIVATE LIMITED</t>
  </si>
  <si>
    <t>Invoice for Good Work Pay for the month of June 2025 towards Manpower Supply Charges at M/s: RENEWSYS INDIA PRIVATE LIMITED</t>
  </si>
  <si>
    <t>HRTS2526102B</t>
  </si>
  <si>
    <t>Invoice for the month of June-2025 towards Manpower Deployment Charges for (Difference amount of 1 associate) Projects Employees posted at M/s: Mundra Solar PV Ltd</t>
  </si>
  <si>
    <t>Invoice for the month of June 2025 towards Gratuity (3 Employees) Invoice for the month of June 2025</t>
  </si>
  <si>
    <t>Invoice for the month of June 2025 towards Gratuity (1 Employee) Invoice for the month of June 2025 in Techno Commercial Department</t>
  </si>
  <si>
    <t>HRTS2526113</t>
  </si>
  <si>
    <t>HRTS2526114</t>
  </si>
  <si>
    <t>HRTS2526115</t>
  </si>
  <si>
    <t>Invoice for the month of June 2025 towards Manpower Deployment Charges at M/s: ADANI NEW INDUSTRIES LTD., INCENTIVE (89 Associates)</t>
  </si>
  <si>
    <t>Invoice for the month of June 2025 towards Manpower Deployment Charges at M/s: MUNDRA SOLAR ENERGY LIMITED., INCENTIVE (654 Associates)</t>
  </si>
  <si>
    <t>HRTS2526116</t>
  </si>
  <si>
    <t>Invoice for the month of June 2025 towards Manpower Deployment Charges at M/s: MUNDRA SOLAR PV LTD., INCENTIVE (729 Associates)</t>
  </si>
  <si>
    <t>Invoice for the month of June 2025 towards Manpower Deployment Charges at M/s: MUNDRA SOLAR PV LTD, DTA Department., INCENTIVE (17 Associates)</t>
  </si>
  <si>
    <t>HRTS2526117</t>
  </si>
  <si>
    <t>Invoice for the month of June-2025 towards Manpower Deployment Charges for 6 Employees posted at M/s: ADANI INFRA (INDIA) LIMITED</t>
  </si>
  <si>
    <t>HRTS2526118</t>
  </si>
  <si>
    <t>HRTS2526119</t>
  </si>
  <si>
    <t>Invoice for the month of June-2025 towards Manpower Deployment Charges for 336 Employees at M/s: MSPL</t>
  </si>
  <si>
    <t>HRTS2526120</t>
  </si>
  <si>
    <t>HRTS2526121</t>
  </si>
  <si>
    <t>Invoice for the month of June-2025 towards Manpower Deployment Charges for 787 Employees at M/s: MSEL &amp; Additional Supervisor Cost of Rs. 80,000/-</t>
  </si>
  <si>
    <t>Invoice for the month of June-2025 towards Manpower Deployment Charges for 315 Employees at M/s: MSEL</t>
  </si>
  <si>
    <t>Invoice for the month of June-2025 towards Manpower Deployment Charges for 27 Employees at M/s: MSEL</t>
  </si>
  <si>
    <t xml:space="preserve">Invoice for the month of June-2025 towards Manpower Deployment Charges for 1069 Employees at M/s: MSPL &amp; Additional Supervisor Cost of Rs. 60,000/- </t>
  </si>
  <si>
    <t>Invoice for the month of June-2025 towards Manpower Deployment Charges for 11 Employees at M/s: MSPL</t>
  </si>
  <si>
    <t>04-July</t>
  </si>
  <si>
    <t>HRTS2526122</t>
  </si>
  <si>
    <t>HRTS2526123</t>
  </si>
  <si>
    <t>Invoice for the month of June-2025 towards Manpower Deployment Charges for 1 Employees  at M/s: ADANI WATER LIMITED., @ Bhagalpur Site</t>
  </si>
  <si>
    <t>HRTS2526124</t>
  </si>
  <si>
    <t>HRTS2526125</t>
  </si>
  <si>
    <t>Invoice for the month of June-2025 towards Manpower Deployment Charges for 30 Employees at M/s: MSPL</t>
  </si>
  <si>
    <t>Invoice for the month of June-2025 towards Manpower Deployment Charges for 306 Employees at M/s: MSPL</t>
  </si>
  <si>
    <t>HRTS2526126</t>
  </si>
  <si>
    <t>Invoice for the month of June-2025 towards Manpower Deployment Charges for 5
Employee’s at M/s: KUTCH COPPER LTD @ Mundra Location</t>
  </si>
  <si>
    <t>Invoice for the month of June-2025 Arrears towards Manpower Deployment Charges for 33 Employees at M/s: MSPL @ DTA Department</t>
  </si>
  <si>
    <t>HRTS2526127</t>
  </si>
  <si>
    <t>HRTS2526128</t>
  </si>
  <si>
    <t>HRTS2526129</t>
  </si>
  <si>
    <t>HRTS2526130</t>
  </si>
  <si>
    <t>HRTS2526131</t>
  </si>
  <si>
    <t>HRTS2526132</t>
  </si>
  <si>
    <t>HRTS2526133</t>
  </si>
  <si>
    <t>Invoice for the month of June-2025 67 associates towards Manpower Deployment Charges for at M/s: Adani Adani Infra India Limited., @ Tirupati, Vijayawada, Visakhapatnam, Maharashtra &amp; Uttarakhand Locations</t>
  </si>
  <si>
    <t>Invoice for the month of June-2025 towards Manpower Deployment Charges for 59 associates at M/s: Adani Transmission Step-Seven Limited., @ Vizag Location</t>
  </si>
  <si>
    <t>Invoice for the month of June-2025 towards Manpower Deployment Charges for 7 associates at M/s: Adani Transmission Step-Six Limited., @ Maharashtra Package 6 Locations</t>
  </si>
  <si>
    <t xml:space="preserve"> Invoice for the month of June-2025 towards Manpower Deployment Charges for 6 associates at M/s: Adani Transmission Step-Six Limited., @ Maharashtra Package 7 Locations</t>
  </si>
  <si>
    <t>HRTS2526135</t>
  </si>
  <si>
    <t>Invoice for the month of June-2025 towards Manpower Deployment Charges for 334 Employees posted at M/s: BUILDCAST SOLUTIONS PRIVATE LIMITED</t>
  </si>
  <si>
    <t>Invoice for the month of June-2025 towards Manpower Deployment Charges for 50 associates at M/s: Adani Transmission Step-Seven Limited., @ Vijayawada Location</t>
  </si>
  <si>
    <t xml:space="preserve">Invoice for the month of June-2025 towards Manpower Deployment Charges for 86 associates at M/s: Adani Transmission Step-Seven Limited., @ Tirupati Location </t>
  </si>
  <si>
    <t>HRTS2526134</t>
  </si>
  <si>
    <t>HRTS2526136</t>
  </si>
  <si>
    <t>HRTS2526137</t>
  </si>
  <si>
    <t>Invoice for the month of June-2025 Arrears towards Manpower Deployment Charges for 178 Employees at M/s: ANIL</t>
  </si>
  <si>
    <t>Invoice for the month of June-2025 Arrears towards Manpower Deployment Charges for 1424 Employees at M/s: MSPL</t>
  </si>
  <si>
    <t>Invoice for the month of June-2025 Arrears towards Manpower Deployment Charges for 1143 Employees at M/s: MSEL</t>
  </si>
  <si>
    <t>GST amount for Rs. 2,40,649 Received on 06-06-2025</t>
  </si>
  <si>
    <t>HRTS2526138</t>
  </si>
  <si>
    <t>HRTS2526139</t>
  </si>
  <si>
    <t>Invoice for the month of June 2025 towards Manpower Deployment Charges at M/s: MUNDRA SOLAR PV LTD., TC Department INCENTIVE (7 Associates)</t>
  </si>
  <si>
    <t>Invoice for the month of June 2025 towards Manpower Deployment Charges at M/s: MUNDRA SOLAR ENERGY LIMITED., TC Department INCENTIVE (2 Associates)</t>
  </si>
  <si>
    <t>04-07-2025
07-07-2025</t>
  </si>
  <si>
    <t>05-07-2025
07-07-2025</t>
  </si>
  <si>
    <t>Rs 1,29,490/- GST Received on 07-07-2025</t>
  </si>
  <si>
    <t>Rs 24,40,027/- GST Received on 07-07-2025</t>
  </si>
  <si>
    <t>Rs. 4,37,626/- GST Received on 07-07-2025</t>
  </si>
  <si>
    <t>Rs. 7,47,278/- GST Received on 07-07-2025</t>
  </si>
  <si>
    <t>Rs. 24,40,027/- GST Received on 07-07-2025</t>
  </si>
  <si>
    <t>Rs. 1,29,490/- GST Received on 07-07-2025</t>
  </si>
  <si>
    <t>09-06-2025
07-07-2025</t>
  </si>
  <si>
    <t>07-07-2025
07-07-2025</t>
  </si>
  <si>
    <t>GST amount for Rs. 16,512 Received on 07-07-2025</t>
  </si>
  <si>
    <t>GST amount for Rs. 3,16,27,897 Received on 07-07-2025</t>
  </si>
  <si>
    <t>GST amount for Rs. 2,04,887 Received on 07-07-2025</t>
  </si>
  <si>
    <t>GST amount for Rs. 2,21,779 Received on 07-07-2025</t>
  </si>
  <si>
    <t>GST amount for Rs. 95,782 Received on 07-07-2025</t>
  </si>
  <si>
    <t>GST amount for Rs. 8,79,719 Received on 07-07-2025</t>
  </si>
  <si>
    <t>HRTS2526140</t>
  </si>
  <si>
    <t>HRTS2526141</t>
  </si>
  <si>
    <t>HRTS2526142</t>
  </si>
  <si>
    <t>Towards Professional fee for providing RPO for the month of July-25
28 Recruiters @ Rs.72,050/- PPPM.
1 Staffing Coordinator @ 53,350/- PPPM and 6 Sr. Specialist Recruiter @99,751/- PPPM</t>
  </si>
  <si>
    <t xml:space="preserve">a) Towards Reimbursement of Mobile Bill &amp; Wifi Charges upto Rs. 800/- Per Month Per Candidate for the Month of June-2025. </t>
  </si>
  <si>
    <t>Towards Professional fee for providing Recruitment Process Outsourcing Services for the month of July-2025 a) One Lead. Recruiter @ Rs.1,09,000/-, One Recruitment Business Partner @ Rs. 1,33,333/- &amp; Four Sr. Recruitment Business Partner @ Rs 1,58,333/- per person per month</t>
  </si>
  <si>
    <t>HRTS2526143</t>
  </si>
  <si>
    <t>HRTS2526144</t>
  </si>
  <si>
    <t>HRTS2526145</t>
  </si>
  <si>
    <t>Invoice towards Full &amp; Final Settlement to employees who left in the month of June-2025</t>
  </si>
  <si>
    <t>Invoice for the month of June-2025 towards supply of outsourced manpower for 1 Employee for SG-SSGIPL-340526-BHUBANESWAR Project.</t>
  </si>
  <si>
    <t>Invoice for the month of June-2025 towards supply of outsourced manpower for 473 Employees Posted at TPL including OT, TA, Arrears &amp; All Allowances</t>
  </si>
  <si>
    <t>HRTS2526146</t>
  </si>
  <si>
    <t>Invoice for the month of June-2025 Arrears towards Manpower Deployment Charges for 7 Projects Employees posted at M/s: Mundra Solar PV Ltd</t>
  </si>
  <si>
    <t>HRTS2526147</t>
  </si>
  <si>
    <t>HRTS2526148</t>
  </si>
  <si>
    <t>Invoice for the month of June 2025 Arrears towards Manpower Deployment Charges at M/s: MUNDRA SOLAR PV LTD., TC Department (25 Associates)</t>
  </si>
  <si>
    <t>Invoice for the month of June 2025 Arrears towards Manpower Deployment Charges at M/s: MUNDRA SOLAR ENERGY LIMITED., TC Department (25 Associates)</t>
  </si>
  <si>
    <t>HRTS2526149</t>
  </si>
  <si>
    <t>Invoice for the month of June-2025 Arrears towards Manpower Deployment Charges for 6 Employees posted at M/s: ADANI INFRA (INDIA) LIMITED</t>
  </si>
  <si>
    <t>20-05-2025
11-07-2025</t>
  </si>
  <si>
    <t>Rs. 244940.132  Excess TDS deducted amount received on 11-07-2025</t>
  </si>
  <si>
    <t>Rs. 1516.498   Excess TDS deducted amount received on 11-07-2025</t>
  </si>
  <si>
    <t>Rs. 1967.839   Excess TDS deducted amount received on 11-07-2025</t>
  </si>
  <si>
    <t>Rs. 6988.85   Excess TDS deducted amount received on 11-07-2025</t>
  </si>
  <si>
    <t>21-06-2025
25-06-2025</t>
  </si>
  <si>
    <t>GST Rs. 51,589 received on 15-07-2025</t>
  </si>
  <si>
    <t>10-07-2025
15-07-2025</t>
  </si>
  <si>
    <t>15-05-2025
14-07-2025</t>
  </si>
  <si>
    <t>11-06-2025
14-07-2025</t>
  </si>
  <si>
    <t>HRTS2526150</t>
  </si>
  <si>
    <t>HRTS2526151</t>
  </si>
  <si>
    <t>Professional fee towards for Providing Allied HR, Payroll and Statutory Compliance Services for the month of June-2025</t>
  </si>
  <si>
    <t>GST Payment Received on 21-07-2025 for Rs. 72,257</t>
  </si>
  <si>
    <t>GST Payment Received on 21-07-2025 Rs. 4,69,410</t>
  </si>
  <si>
    <t>GST Payment Received on 21-07-2025 Rs. 6,3197</t>
  </si>
  <si>
    <t>GST Payment Received on 21-07-2025 Rs. 9,900</t>
  </si>
  <si>
    <t>GST Payment Received on 21-07-2025 Rs. 10,12,319</t>
  </si>
  <si>
    <t>17-07-2025
21-07-2025</t>
  </si>
  <si>
    <t>17-07-2025
22-07-2025</t>
  </si>
  <si>
    <t>GST amount received on 22-07-2025 for Rs. 1,04,918/-</t>
  </si>
  <si>
    <t>GST amount received on 22-07-2025 for Rs. 7,94,149/-</t>
  </si>
  <si>
    <t>GST Hold amount received on 24-07-2025 for Rs. 6,13,437</t>
  </si>
  <si>
    <t>GST Hold amount received on 24-07-2025 for Rs. 67,132 on Hold</t>
  </si>
  <si>
    <t>GST Hold amount received on 24-07-2025 for Rs. 1,84,139</t>
  </si>
  <si>
    <t>18-07-2025
24-07-2025</t>
  </si>
  <si>
    <t>08-07-2025
24-07-2025</t>
  </si>
  <si>
    <t>HRTS2526152</t>
  </si>
  <si>
    <t>HRTS2526153</t>
  </si>
  <si>
    <t>HRTS2526154</t>
  </si>
  <si>
    <t>HRTS2526155</t>
  </si>
  <si>
    <t>Invoice for the month of July 2025 towards Manpower Supply Charges at M/s: RENEWSYS INDIA PRIVATE LIMITED</t>
  </si>
  <si>
    <t>Invoice for Good Work Pay for the month of July 2025 towards Manpower Supply Charges at M/s: RENEWSYS INDIA PRIVATE LIMITED</t>
  </si>
  <si>
    <t>HRTS2526156</t>
  </si>
  <si>
    <t>Invoice for the month of July-2025 towards Manpower Deployment Charges for 394 Employees posted at M/s: BUILDCAST SOLUTIONS PRIVATE LIMITED</t>
  </si>
  <si>
    <t>HRTS2526157</t>
  </si>
  <si>
    <t>HRTS2526158</t>
  </si>
  <si>
    <t>Invoice for the month of July-2025 towards Manpower Deployment Charges for 1 Employees  at M/s: ADANI WATER LIMITED., @ Bhagalpur Site</t>
  </si>
  <si>
    <t>05-Aug</t>
  </si>
  <si>
    <t>HRTS2526159</t>
  </si>
  <si>
    <t>Invoice for the month of July-2025 towards Manpower Deployment Charges for 3
Employee’s at M/s: KUTCH COPPER LTD @ Mundra Location</t>
  </si>
  <si>
    <t>Aug-25</t>
  </si>
  <si>
    <t>June-25</t>
  </si>
  <si>
    <t>July-25</t>
  </si>
  <si>
    <t>HRTS2526160</t>
  </si>
  <si>
    <t>HRTS2526161</t>
  </si>
  <si>
    <t>HRTS2526162</t>
  </si>
  <si>
    <t>Invoice for the month of July-2025 towards supply of outsourced manpower for 447 Employees Posted at TPL including OT, TA, Arrears &amp; All Allowances</t>
  </si>
  <si>
    <t>Invoice for the month of July-2025 towards supply of outsourced manpower for 1 Employee for SG-SSGIPL-340526-BHUBANESWAR Project.</t>
  </si>
  <si>
    <t>Invoice towards Full &amp; Final Settlement to employees who left in the month of July-2025</t>
  </si>
  <si>
    <t>HRTS2526163</t>
  </si>
  <si>
    <t>Invoice for the month of May-25 &amp; June-25 towards Overseas Allowance for the 59 Employees working at Nepal T&amp;D BU.</t>
  </si>
  <si>
    <t>RBL Bank</t>
  </si>
  <si>
    <t>HRTS2526164</t>
  </si>
  <si>
    <t>HRTS2526165</t>
  </si>
  <si>
    <t xml:space="preserve">a) Towards Reimbursement of Mobile Bill &amp; Wifi Charges upto Rs. 800/- Per Month Per Candidate for the Month of July-2025. </t>
  </si>
  <si>
    <t>Towards Professional fee for providing RPO for the month of August-25
24 Recruiters @ Rs.72,050/- PPPM.
1 Staffing Coordinator @ 53,350/- PPPM and 8 Sr. Specialist Recruiter @99,751/- PPPM</t>
  </si>
  <si>
    <t>04-08-2025
11-08-2025</t>
  </si>
  <si>
    <t>GST Amount Received on 11-08-2025</t>
  </si>
  <si>
    <t>GST amount received on 11-08-2025 for Rs. 7,146</t>
  </si>
  <si>
    <t>GST amount received on 11-08-2025d for Rs. 16,390</t>
  </si>
  <si>
    <t>GST amount received on 11-08-2025 for Rs. 5400</t>
  </si>
  <si>
    <t>GST amount received on 11-08-2025 for Rs. 44,924</t>
  </si>
  <si>
    <t>21-07-2025
11-08-2025</t>
  </si>
  <si>
    <t>28-07-2025
11-08-2025</t>
  </si>
  <si>
    <t>GST Amount Received on 11-08-2025 for Rs. 788</t>
  </si>
  <si>
    <t>HRTS2526166</t>
  </si>
  <si>
    <t>Invoice for the month of July 2025 towards the engagement of 45 apprentices under the Optional Trade category through the Apprenticeship India Portal.</t>
  </si>
  <si>
    <t>14-07-2025
16-08-2025</t>
  </si>
  <si>
    <t>Rs. 20,221.04 received on 16-08-2025</t>
  </si>
  <si>
    <t>HRTS2526167</t>
  </si>
  <si>
    <t>HRTS2526168</t>
  </si>
  <si>
    <t>Professional fee towards for Providing Allied HR, Payroll and Statutory Compliance Services for the month of July-2025</t>
  </si>
  <si>
    <t>HRTS2526169</t>
  </si>
  <si>
    <t>Invoice for the month of August-2025 towards Manpower Deployment Charges for 410 Employees posted at M/s: BUILDCAST SOLUTIONS PRIVATE LIMITED</t>
  </si>
  <si>
    <t>HRTS2526170</t>
  </si>
  <si>
    <t>Invoice for the month of August-2025 towards Gate Pass Allowances for 282 Employees posted at M/s: BUILDCAST SOLUTIONS PRIVATE LIMITED</t>
  </si>
  <si>
    <t>HRTS2526171</t>
  </si>
  <si>
    <t>HRTS2526172</t>
  </si>
  <si>
    <t>HRTS2526173</t>
  </si>
  <si>
    <t>HRTS2526174</t>
  </si>
  <si>
    <t>Invoice for the month of August 2025 towards Manpower Supply Charges at M/s: RENEWSYS INDIA PRIVATE LIMITED</t>
  </si>
  <si>
    <t>Invoice for Good Work Pay for the month of August 2025 towards Manpower Supply Charges at M/s: RENEWSYS INDIA PRIVATE LIMITED</t>
  </si>
  <si>
    <t>HRTS2526175</t>
  </si>
  <si>
    <t>06-Sep</t>
  </si>
  <si>
    <t>HRTS2526176</t>
  </si>
  <si>
    <t>HRTS2526177</t>
  </si>
  <si>
    <t>Invoice for the month of August-2025 towards Manpower Deployment Charges for 1 Employees  at M/s: ADANI WATER LIMITED., @ Bhagalpur Site</t>
  </si>
  <si>
    <t>HRTS2526178</t>
  </si>
  <si>
    <t>Invoice for the month of August-2025 towards Manpower Deployment Charges for 3
Employee’s at M/s: KUTCH COPPER LTD @ Mundra Location</t>
  </si>
  <si>
    <t>HRTS2526180</t>
  </si>
  <si>
    <t>HRTS2526181</t>
  </si>
  <si>
    <t xml:space="preserve">a) Towards Reimbursement of Mobile Bill &amp; Wifi Charges upto Rs. 800/- Per Month Per Candidate for the Month of August-2025. </t>
  </si>
  <si>
    <t>Towards Professional fee for providing RPO for the month of September-25
24 Recruiters @ Rs.72,050/- PPPM.
1 Staffing Coordinator @ 53,350/- PPPM and 9 Sr. Specialist Recruiter @99,751/- PPPM</t>
  </si>
  <si>
    <t>HRTS2526179</t>
  </si>
  <si>
    <t>Towards Professional fee for providing Recruitment Process Outsourcing Services for the month of August-2025 (Ms. SRI HARSHINI) 1 Sr. Specialist Recruiter @ Rs. 99,751/- per person per month</t>
  </si>
  <si>
    <t>HRTS2526182</t>
  </si>
  <si>
    <t>Invoice for the month of August-2025 towards supply of outsourced manpower for 449 Employees Posted at TPL including OT, TA, Arrears &amp; All Allowances</t>
  </si>
  <si>
    <t>Invoice for the month of August 2025 towards the engagement of 45 apprentices under the Optional Trade category through the Apprenticeship India Portal.</t>
  </si>
  <si>
    <t>HRTS2526183</t>
  </si>
  <si>
    <t>Invoice towards Full &amp; Final Settlement to employees who left in the month of August-2025</t>
  </si>
  <si>
    <t>Invoice towards Health Insurance coverage for 44 apprenticeship candidates joined in August 2025.</t>
  </si>
  <si>
    <t>Sep-25</t>
  </si>
  <si>
    <t>HRTS2526184</t>
  </si>
  <si>
    <t>Invoice for the month of August-2025 towards Manpower Deployment Charges for 5 Employee’s at M/s: INOX Solar Ltd. @ Bavla Location, Gujarat</t>
  </si>
  <si>
    <t>HRTS2526185</t>
  </si>
  <si>
    <t>HRTS2526186</t>
  </si>
  <si>
    <t>Towards Professional fee for providing Recruitment Process Outsourcing Services for the month of August-2025 a) One Sr. Recruiter @ Rs.1,58,333/- &amp; Three Principal Recruitment Business Partner @ Rs. 1,90,000/-</t>
  </si>
  <si>
    <t>Towards Professional fee for providing Recruitment Process Outsourcing Services for the month of September-2025 a) One Sr. Recruiter @ Rs.1,58,333/- &amp; Three Principal Recruitment Business Partner @ Rs. 1,90,000/-</t>
  </si>
  <si>
    <t>24AAHCI9174M1ZZ</t>
  </si>
  <si>
    <t>INOX SOLAR LTD</t>
  </si>
  <si>
    <t>HRTS2526187</t>
  </si>
  <si>
    <t>HRTS2526188</t>
  </si>
  <si>
    <t>Towards Professional fee for providing Recruitment Process Outsourcing Services for the month of August-2025 (Ms. BOMMU CHARMILA BABI) 1 HR Executive @ Rs. 89,000/- per person per month</t>
  </si>
  <si>
    <t>Towards Professional fee for providing Recruitment Process Outsourcing Services for the month of September-2025 (Ms. BOMMU CHARMILA BABI) 1 HR Executive @ Rs. 89,000/- per person per month</t>
  </si>
  <si>
    <t>HRTS2526189</t>
  </si>
  <si>
    <t>HRTS2526190</t>
  </si>
  <si>
    <t>Invoice for the month of September-2025 towards Manpower Deployment Charges for 419 Employees posted at M/s: BUILDCAST SOLUTIONS PRIVATE LIMITED</t>
  </si>
  <si>
    <t>Invoice for the month of September-2025 towards Gate Pass Allowances for 22 Employees posted at M/s: BUILDCAST SOLUTIONS PRIVATE LIMITED</t>
  </si>
  <si>
    <t>HRTS2526191</t>
  </si>
  <si>
    <t>HRTS2526192</t>
  </si>
  <si>
    <t>HRTS2526193</t>
  </si>
  <si>
    <t>Invoice for the month of September 2025 towards Manpower Supply Charges at M/s: RENEWSYS INDIA PRIVATE LIMITED</t>
  </si>
  <si>
    <t>Invoice for Good Work Pay for the month of September 2025 towards Manpower Supply Charges at M/s: RENEWSYS INDIA PRIVATE LIMITED</t>
  </si>
  <si>
    <t>07-Oct</t>
  </si>
  <si>
    <t>Towards Professional fee for providing RPO for the month of October-25
25 Recruiters @ Rs.72,050/- PPPM.
1 Staffing Coordinator @ 53,350/- PPPM and 9 Sr. Specialist Recruiter @99,751/- PPPM</t>
  </si>
  <si>
    <t xml:space="preserve">a) Towards Reimbursement of Mobile Bill &amp; Wifi Charges upto Rs. 800/- Per Month Per Candidate for the Month of September-2025. </t>
  </si>
  <si>
    <t>Towards Professional fee for providing Recruitment Process Outsourcing Services for the month of September-2025 (Ms. TABASSUM IBRAHIM QURESHI) 1 Sr. Specialist Recruiter @ Rs. 99,751/- per person per month</t>
  </si>
  <si>
    <t>Towards Professional fee for providing Recruitment Process Outsourcing Services for the month of October-2025 (Ms. BOMMU CHARMILA BABI) 1 HR Executive @ Rs. 89,000/- per person per month</t>
  </si>
  <si>
    <t>HRTS2526194</t>
  </si>
  <si>
    <t>HRTS2526195</t>
  </si>
  <si>
    <t>HRTS2526196</t>
  </si>
  <si>
    <t>HRTS2526197</t>
  </si>
  <si>
    <t>HRTS2526198</t>
  </si>
  <si>
    <t>HRTS2526199</t>
  </si>
  <si>
    <t>Towards Professional fee for providing Recruitment Process Outsourcing Services for the month of October-2025 a) One Sr. Recruiter @ Rs.1,58,333/- b) Three Principal Recruitment Business Partner @ Rs. 1,90,000/- &amp; c) One HR Coordinatore @ 1,09,000</t>
  </si>
  <si>
    <t>Rental fee towards provision of laptops to SAN0006 Ms. Kriti Shukla and SAN0007 Mr. Andrew Venu for the months of August 2025, September 2025, and October 2025 @ ₹3,000 per laptop per person per month.</t>
  </si>
  <si>
    <t>HRTS2526200</t>
  </si>
  <si>
    <t>HRTS2526201</t>
  </si>
  <si>
    <t>Professional fee towards for Providing Allied HR, Payroll and Statutory Compliance Services for the month of August-2025</t>
  </si>
  <si>
    <t>Oct-25</t>
  </si>
  <si>
    <t>HRTS2526202</t>
  </si>
  <si>
    <t>HRTS2526203</t>
  </si>
  <si>
    <t>HRTS2526204</t>
  </si>
  <si>
    <t>Invoice for the month of September-2025 towards Manpower Deployment Charges for 1 Employees  at M/s: ADANI WATER LIMITED., @ Bhagalpur Site</t>
  </si>
  <si>
    <t>Invoice for the month of September-2025 towards Manpower Deployment Charges for 2
Employee’s at M/s: KUTCH COPPER LTD @ Mundra Location</t>
  </si>
  <si>
    <t>HRTS2526205</t>
  </si>
  <si>
    <t>Invoice for the month of September-2025 towards Manpower Deployment Charges for 129 Employee’s at M/s: INOX Solar Ltd. @ Bavla Location, Gujarat</t>
  </si>
  <si>
    <t>01-09-2025
07-10-2025</t>
  </si>
  <si>
    <t>TDS Payment of Rs. 3,120/- received on 07-10-2025</t>
  </si>
  <si>
    <t>HRTS2526206</t>
  </si>
  <si>
    <t>HRTS2526207</t>
  </si>
  <si>
    <t>HRTS2526208</t>
  </si>
  <si>
    <t>Invoice for the month of September-2025 towards supply of outsourced manpower for 455 Employees Posted at TPL including OT, TA, Arrears &amp; All Allowances</t>
  </si>
  <si>
    <t>Invoice towards Full &amp; Final Settlement to employees who left in the month of September-2025</t>
  </si>
  <si>
    <t>Invoice for the month of September 2025 towards the engagement of 88 apprentices under the Optional Trade category through the Apprenticeship India Portal.</t>
  </si>
  <si>
    <t>HRTS2526209</t>
  </si>
  <si>
    <t>Invoice for the month of July-25, August-25 &amp; September-25 towards Overseas Allowance for the 58 Employees working at Nepal T&amp;D BU.</t>
  </si>
  <si>
    <t>CGS TECHNOLOGY ASSOCAITES INC.</t>
  </si>
  <si>
    <t>ENTERPRISE SOFT SOL INC.</t>
  </si>
  <si>
    <t>DISTINCT ENGINEERING SOLUTIONS INC.</t>
  </si>
  <si>
    <t>CREATIVE HEALTHCARE TECHNOLOGIES</t>
  </si>
  <si>
    <t>998312</t>
  </si>
  <si>
    <t>HRTS2426EXP01</t>
  </si>
  <si>
    <t>HRTS2426EXP02</t>
  </si>
  <si>
    <t>HRTS2426EXP03</t>
  </si>
  <si>
    <t>HRTS2426EXP04</t>
  </si>
  <si>
    <t>Towards HR Policy Implementations Services</t>
  </si>
  <si>
    <t>Management Advisory</t>
  </si>
  <si>
    <t>BANK OF INDIA</t>
  </si>
  <si>
    <t>HRTS2526210</t>
  </si>
  <si>
    <t>HRTS2526211</t>
  </si>
  <si>
    <t>Professional fee towards for Providing Allied HR, Payroll and Statutory Compliance Services for the month of September-2025</t>
  </si>
  <si>
    <t>HRTS2526212</t>
  </si>
  <si>
    <t>Invoice for the month of October-2025 towards Manpower Deployment Charges for 428 Employees posted at M/s: BUILDCAST SOLUTIONS PRIVATE LIMITED</t>
  </si>
  <si>
    <t>HRTS2526213</t>
  </si>
  <si>
    <t>HRTS2526214</t>
  </si>
  <si>
    <t>HRTS2526215</t>
  </si>
  <si>
    <t>Invoice for the month of October-2025 towards Manpower Supply Charges at M/s: RENEWSYS INDIA PRIVATE LIMITED</t>
  </si>
  <si>
    <t>Invoice for Good Work Pay for the month of October-2025 towards Manpower Supply Charges at M/s: RENEWSYS INDIA PRIVATE LIMITED</t>
  </si>
  <si>
    <t>08-Nov</t>
  </si>
  <si>
    <t>HRTS2526216</t>
  </si>
  <si>
    <t>HRTS2526217</t>
  </si>
  <si>
    <t>HRTS2526218</t>
  </si>
  <si>
    <t>Towards Professional fee for providing RPO for the month of November-25
23 Recruiters @ Rs.72,050/- PPPM.
1 Staffing Coordinator @ 53,350/- PPPM and 8 Sr. Specialist Recruiter @99,751/- PPPM</t>
  </si>
  <si>
    <t xml:space="preserve">a) Towards Reimbursement of Mobile Bill &amp; Wifi Charges upto Rs. 800/- Per Month Per Candidate for the Month of October-2025. </t>
  </si>
  <si>
    <t>Towards Professional fee for providing Recruitment Process Outsourcing Services for the month of November-2025 (Ms. BOMMU CHARMILA BABI) 1 HR Executive @ Rs. 89,000/- per person per month</t>
  </si>
  <si>
    <t>HRTS2526219</t>
  </si>
  <si>
    <t>HRTS2526220</t>
  </si>
  <si>
    <t>Towards Professional fee for providing Recruitment Process Outsourcing Services for the month of November-2025 a) One Sr. Recruiter @ Rs.1,58,333/- b) Three Principal Recruitment Business Partner @ Rs. 1,90,000/- &amp; c) One HR Coordinatore @ 1,09,000</t>
  </si>
  <si>
    <t>Rental fee towards provision of laptops to SAN0006 Ms. Kriti Shukla and SAN0007 Mr. MATTA VENKATA KALYAN for the month of November 2025 @ ₹3,000 per laptop per person per month.</t>
  </si>
  <si>
    <t>HRTS2526221</t>
  </si>
  <si>
    <t>HRTS2526222</t>
  </si>
  <si>
    <t>Invoice for the month of October-2025 towards Manpower Deployment Charges for 1 Employees  at M/s: ADANI WATER LIMITED., @ Bhagalpur Site</t>
  </si>
  <si>
    <t>HRTS2526223</t>
  </si>
  <si>
    <t>Invoice for the month of October-2025 towards Manpower Deployment Charges for 261 Employee’s at M/s: INOX Solar Ltd. @ Bavla Location, Gujarat</t>
  </si>
  <si>
    <t>Nov-25</t>
  </si>
  <si>
    <t>HRTS2526224</t>
  </si>
  <si>
    <t>HRTS2526225</t>
  </si>
  <si>
    <t>HRTS2526226</t>
  </si>
  <si>
    <t>HRTS2526227</t>
  </si>
  <si>
    <t>Invoice towards Full &amp; Final Settlement to employees who left in the month of October-2025</t>
  </si>
  <si>
    <t>Invoice for the month of October 2025 towards the engagement of 88 apprentices under the Optional Trade category through the Apprenticeship India Portal.</t>
  </si>
  <si>
    <t>Invoice for the month of October-2025 towards supply of outsourced manpower for 446 Employees Posted at TPL including OT, TA, Arrears &amp; All Allowances</t>
  </si>
  <si>
    <t>Invoice for the month of August-25 &amp; September-25 towards Overseas Allowance for the 58 Employees working at Nepal T&amp;D BU.</t>
  </si>
  <si>
    <t>LUMINOUS POWER TECHNOLOGIES PVT. LTD</t>
  </si>
  <si>
    <t>HRTS2526228</t>
  </si>
  <si>
    <t>06AAACS3561K1ZB</t>
  </si>
  <si>
    <t>Sl. No</t>
  </si>
  <si>
    <t>Name of the Candidate</t>
  </si>
  <si>
    <t>Date of Joining</t>
  </si>
  <si>
    <t>Amount</t>
  </si>
  <si>
    <t>a. Total Amount (Sum of above)</t>
  </si>
  <si>
    <t>Inv Date</t>
  </si>
  <si>
    <t>Inv No:</t>
  </si>
  <si>
    <t>Rahul Diwakar</t>
  </si>
  <si>
    <t>Ankit Kumar Varma</t>
  </si>
  <si>
    <t>Kamla Kant Patel</t>
  </si>
  <si>
    <t>Rohit Yadav</t>
  </si>
  <si>
    <t>Position</t>
  </si>
  <si>
    <t>Stringer</t>
  </si>
  <si>
    <t>Auto Bussing</t>
  </si>
  <si>
    <t>August 20, 2025</t>
  </si>
  <si>
    <t>August 26, 2025</t>
  </si>
  <si>
    <t>August 23, 2025</t>
  </si>
  <si>
    <t>August 28, 2025</t>
  </si>
  <si>
    <t>Grand Total a + b</t>
  </si>
  <si>
    <t>November 11, 2025</t>
  </si>
  <si>
    <t>b. IGST @ 18% on above i.e., (a)</t>
  </si>
  <si>
    <t>998511</t>
  </si>
  <si>
    <t>Towards ‘Recruitment and Selection’ Fee for the following candidates:</t>
  </si>
  <si>
    <t>HRTS2526229</t>
  </si>
  <si>
    <t>HRTS2526230</t>
  </si>
  <si>
    <t>HRTS2526231</t>
  </si>
  <si>
    <t>HRTS2526232</t>
  </si>
  <si>
    <t>HRTS2526233</t>
  </si>
  <si>
    <t>HRTS2526234</t>
  </si>
  <si>
    <t>Professional fee towards for Providing Allied HR, Payroll and Statutory Compliance Services for the month of October-2025</t>
  </si>
  <si>
    <t>Professional fee towards for Providing Allied HR, Payroll and Statutory Compliance Services for the month of Apr-25 to Oct-25</t>
  </si>
  <si>
    <t>HRTS2526235</t>
  </si>
  <si>
    <t>HRTS2526236</t>
  </si>
  <si>
    <t>HRTS2526237</t>
  </si>
  <si>
    <t>HRTS2526238</t>
  </si>
  <si>
    <t>Invoice for the month of November-2025 towards Manpower Deployment Charges for 414 Employees posted at M/s: BUILDCAST SOLUTIONS PRIVATE LIMITED</t>
  </si>
  <si>
    <t>Invoice for the month of October-2025 towards
Manpower Deployment Charges for 1 Employees
at M/s: ADANI WATER LIMITED., @ Bhagalpur
Site</t>
  </si>
  <si>
    <t>Invoice for the month of November-2025 towards Manpower Supply Charges at M/s: RENEWSYS INDIA PRIVATE LIMITED</t>
  </si>
  <si>
    <t>Invoice for Good Work Pay for the month of November-2025 towards Manpower Supply Charges at M/s: RENEWSYS INDIA PRIVATE LIMITED</t>
  </si>
  <si>
    <t>09-Dec</t>
  </si>
  <si>
    <t>HRTS2526239</t>
  </si>
  <si>
    <t>HRTS2526240</t>
  </si>
  <si>
    <t>Invoice for the month of November-2025 towards Manpower Deployment Charges for 1 Employees  at M/s: ADANI WATER LIMITED., @ Bhagalpur Site</t>
  </si>
  <si>
    <t>HRTS2526241</t>
  </si>
  <si>
    <t>HRTS2526242</t>
  </si>
  <si>
    <t>HRTS2526243</t>
  </si>
  <si>
    <t>HRTS2526244</t>
  </si>
  <si>
    <t>Towards Professional fee for providing RPO for the month of December-25
23 Recruiters @ Rs.72,050/- PPPM.
1 Staffing Coordinator @ 53,350/- PPPM and 8 Sr. Specialist Recruiter @99,751/- PPPM</t>
  </si>
  <si>
    <t xml:space="preserve">a) Towards Reimbursement of Mobile Bill &amp; Wifi Charges upto Rs. 800/- Per Month Per Candidate for the Month of November-2025. </t>
  </si>
  <si>
    <t>Towards Professional fee for providing Recruitment Process Outsourcing Services for the month of December-2025 (Ms. BOMMU CHARMILA BABI) 1 HR Executive @ Rs. 89,000/- per person per month</t>
  </si>
  <si>
    <t>Towards Professional fee for providing Recruitment Process Outsourcing Services for the month of December-2025 a) One Sr. Recruiter @ Rs.1,58,333/- b) Three Principal Recruitment Business Partner @ Rs. 1,90,000/- &amp; c) One HR Coordinatore @ 1,09,000</t>
  </si>
  <si>
    <t>HRTS2526245</t>
  </si>
  <si>
    <t>Invoice for the month of November-2025 towards Manpower Deployment Charges
for 303 Employee’s at M/s: INOX Solar Ltd. @ Bavla Location, Gujarat</t>
  </si>
  <si>
    <t>HRTS2526246</t>
  </si>
  <si>
    <t>HRTS2526247</t>
  </si>
  <si>
    <t>HRTS2526248</t>
  </si>
  <si>
    <t>HRTS2526249</t>
  </si>
  <si>
    <t>Invoice for the month of November-2025 towards supply of outsourced manpower for 590 Employees for all SBU</t>
  </si>
  <si>
    <t>HRTS2526250</t>
  </si>
  <si>
    <t>Invoice towards Full &amp; Final Settlement to employees who left in the month of November-2025</t>
  </si>
  <si>
    <t>Invoice for the month of November-2025 towards Overseas Allowance for the Employees working at Nepal T&amp;D BU</t>
  </si>
  <si>
    <t>Invoice for the month of November-2025 towards the engagement of 82 apprentices under the Optional Trade category through the Apprenticeship India Portal</t>
  </si>
  <si>
    <t>Invoice towards Health Insurance coverage for 133 candidates joined in November 2025</t>
  </si>
  <si>
    <t>Credit Note towards Invoice No : HRTS2526245</t>
  </si>
  <si>
    <t>HRTS2526245A</t>
  </si>
  <si>
    <t>Standard Chartered</t>
  </si>
  <si>
    <t>HRTS2526251</t>
  </si>
  <si>
    <t>HRTS2526252</t>
  </si>
  <si>
    <t>Professional fee towards for Providing Allied HR, Payroll and Statutory Compliance Services for the month of November-2025</t>
  </si>
  <si>
    <t>HRTS2526253</t>
  </si>
  <si>
    <t>HRTS2526254</t>
  </si>
  <si>
    <t>HRTS2526255</t>
  </si>
  <si>
    <t>HRTS2526256</t>
  </si>
  <si>
    <t>HRTS2526257</t>
  </si>
  <si>
    <t>Invoice for the month of December-2025 towards Manpower Deployment Charges for 466 Employees posted at M/s: BUILDCAST SOLUTIONS PRIVATE LIMITED</t>
  </si>
  <si>
    <t>Invoice for the month of December-2025
towards Manpower Supply Charges at M/s:
RENEWSYS INDIA PRIVATE LIMITED</t>
  </si>
  <si>
    <t>Invoice for the month of December-2025 towards Manpower Supply Charges at M/s: RENEWSYS INDIA PRIVATE LIMITED</t>
  </si>
  <si>
    <t>Invoice for Good Work Pay for the month of December-2025 towards Manpower Supply Charges at M/s: RENEWSYS INDIA PRIVATE LIMITED</t>
  </si>
  <si>
    <t>10-Jan</t>
  </si>
  <si>
    <t>HRTS2526258</t>
  </si>
  <si>
    <t>HRTS2526259</t>
  </si>
  <si>
    <t>HRTS2526260</t>
  </si>
  <si>
    <t>Invoice for the month of December-2025 towards Manpower Deployment Charges for 1 Employees  at M/s: ADANI WATER LIMITED., @ Bhagalpur Site</t>
  </si>
  <si>
    <t>Invoice for the month of December-2025 towards Manpower Deployment Charges for 303 Employee’s at M/s: INOX Solar Ltd. @ Bavla Location, Gujarat</t>
  </si>
  <si>
    <t>HRTS2526261</t>
  </si>
  <si>
    <t>VISHAKA METALS PRIVATE LIMITED</t>
  </si>
  <si>
    <t>No Due</t>
  </si>
  <si>
    <t>HRTS2526262</t>
  </si>
  <si>
    <t>HRTS2526263</t>
  </si>
  <si>
    <t>HRTS2526264</t>
  </si>
  <si>
    <t>HRTS2526265</t>
  </si>
  <si>
    <t>Towards Professional fee for providing Recruitment Process Outsourcing Services for the month of January-2026 (Ms. BOMMU CHARMILA BABI) 1 HR Executive @ Rs. 89,000/- per person per month</t>
  </si>
  <si>
    <t>Towards Professional fee for providing RPO for the month of January-26
12 Recruiters @ Rs.72,050/- PPPM.
1 Staffing Coordinator @ 53,350/- PPPM and 15 Sr. Specialist Recruiter @99,751/- PPPM</t>
  </si>
  <si>
    <t xml:space="preserve">a) Towards Reimbursement of Mobile Bill &amp; Wifi Charges upto Rs. 800/- Per Month Per Candidate for the Month of December-2025. </t>
  </si>
  <si>
    <t>Towards Professional fee for providing Recruitment Process Outsourcing Services for the month of January-2026 a) Two Sr. Recruiter @ Rs.1,58,333/- and b) Three Principal Recruitment Business Partner @ Rs. 1,90,000/-</t>
  </si>
  <si>
    <t>HRTS2526266</t>
  </si>
  <si>
    <t>HRTS2526267</t>
  </si>
  <si>
    <t>HRTS2526268</t>
  </si>
  <si>
    <t>HRTS2526269</t>
  </si>
  <si>
    <t>24AAFCV5222P1Z1</t>
  </si>
  <si>
    <t>Invoice for the month of December 2025 towards Manpower Deployment Charges at M/s: VISHAKHA METALS PRIVATE LIMITED., Machine Shop Department.</t>
  </si>
  <si>
    <t>Invoice for the month of December 2025 towards Manpower Deployment Charges at M/s: VISHAKHA METALS PRIVATE LIMITED, Quality Department.</t>
  </si>
  <si>
    <t>HRTS2526270</t>
  </si>
  <si>
    <t>HRTS2526271</t>
  </si>
  <si>
    <t>HRTS2526272</t>
  </si>
  <si>
    <t>HRTS2526273</t>
  </si>
  <si>
    <t>Invoice for the month of December-2025 towards the engagement of 67 apprentices under the Optional Trade category through the Apprenticeship India Portal.</t>
  </si>
  <si>
    <t>Invoice for the month of December-2025 towards supply of outsourced manpower for 616 Employees for all SBU.</t>
  </si>
  <si>
    <t>Invoice towards Full &amp; Final Settlement to employees who left in the month of December-2025</t>
  </si>
  <si>
    <t>Invoice for the month of December-2025 towards Overseas Allowance for the Employees working at Nepal T&amp;D BU.</t>
  </si>
  <si>
    <t>Invoice towards Health Insurance coverage for 43 candidates joined in December 2025.</t>
  </si>
  <si>
    <t>HRTS2526274</t>
  </si>
  <si>
    <t>HRTS2526275</t>
  </si>
  <si>
    <t>Professional fee towards for Providing Allied HR, Payroll and Statutory Compliance Services for the month of December-2025</t>
  </si>
  <si>
    <t>Invoice for Moduleline employees arrears for Oct-2025 and Nov-2025</t>
  </si>
  <si>
    <t>Invoice for Cellline employees arrears for Oct-2025 and Nov-2025</t>
  </si>
  <si>
    <t>HRTS2526276</t>
  </si>
  <si>
    <t>HRTS2526277</t>
  </si>
  <si>
    <t>HRTS2526278</t>
  </si>
  <si>
    <t>HRTS2526279</t>
  </si>
  <si>
    <t>HRTS2526280</t>
  </si>
  <si>
    <t>Invoice for the month of January-2026 towards Manpower Deployment Charges for 465 Employees posted at M/s: BUILDCAST SOLUTIONS PRIVATE LIMITED</t>
  </si>
  <si>
    <t>HRTS2526281</t>
  </si>
  <si>
    <t>HRTS2526282</t>
  </si>
  <si>
    <t>HRTS2526283</t>
  </si>
  <si>
    <t>Invoice for the month of January 2026 – F&amp;F settlement amounts for 20 associates at M/s Adani Transmission Step-Seven Limited, @ Vijayawada Location.</t>
  </si>
  <si>
    <t>Invoice for the month of January 2026 – F&amp;F settlement amounts for 27 associates at M/s Adani Transmission Step-Seven Limited, @ Vizag Location.</t>
  </si>
  <si>
    <t>Invoice for the month of January 2026 – F&amp;F settlement amounts for 99 associates at M/s Adani Transmission Step-Seven Limited, @ Tirupati Location.</t>
  </si>
  <si>
    <t>Invoice for Good Work Pay for the month of January-2026 towards Manpower Supply Charges at M/s: RENEWSYS INDIA PRIVATE LIMITED</t>
  </si>
  <si>
    <t>Invoice for the month of January-2026 towards Manpower Supply Charges at M/s: RENEWSYS INDIA PRIVATE LIMITED</t>
  </si>
  <si>
    <t>HRTS2526284</t>
  </si>
  <si>
    <t>11-Feb</t>
  </si>
  <si>
    <t>HRTS2526285</t>
  </si>
  <si>
    <t>HRTS2526286</t>
  </si>
  <si>
    <t>HRTS2526287</t>
  </si>
  <si>
    <t>HRTS2526288</t>
  </si>
  <si>
    <t>Towards Professional fee for providing RPO for the month of February-26
12 Recruiters @ Rs.72,050/- PPPM.
1 Staffing Coordinator @ 53,350/- PPPM and 15 Sr. Specialist Recruiter @99,751/- PPPM</t>
  </si>
  <si>
    <t>Towards Professional fee for providing Recruitment Process Outsourcing Services for the month of February-2026 a) One Sr. Recruiter @ Rs.1,58,333/- and b) Three Principal Recruitment Business Partner @ Rs. 1,90,000/-</t>
  </si>
  <si>
    <t>Invoice for the month of January-2026 towards
Manpower Deployment Charges for 288
Employee???s at M/s: INOX Solar Ltd. @ Bavla
Location, Gujarat</t>
  </si>
  <si>
    <t>Invoice for the month of January-2026 towards
Manpower Deployment Charges for 1 Employees
at M/s: ADANI WATER LIMITED., @ Bhagalpur
Site</t>
  </si>
  <si>
    <t>HRTS2526289</t>
  </si>
  <si>
    <t>HRTS2526290</t>
  </si>
  <si>
    <t>Invoice for the month of January 2026 towards Manpower Deployment Charges at M/s: VISHAKHA METALS PRIVATE LIMITED., Machine Shop Department</t>
  </si>
  <si>
    <t>Invoice for the month of January 2026 towards Manpower Deployment Charges at M/s: VISHAKHA METALS PRIVATE LIMITED., Quality Department</t>
  </si>
  <si>
    <t>Invoice for the month of January 2026 towards Manpower Deployment Charges at M/s: VISHAKHA METALS PRIVATE LIMITED., Maintenance Department</t>
  </si>
  <si>
    <t>HRTS2526291</t>
  </si>
  <si>
    <t>Towards Professional fee for providing Recruitment Process
Outsourcing Services for the month of February-2026 (Ms. BOMMU
CHARMILA BABI) 1 HR Executive @ Rs. 89,000/- per person per
month</t>
  </si>
  <si>
    <t>HRTS2526292</t>
  </si>
  <si>
    <t>a)Towards Reimbursement of Mobile Bill &amp; Wifi Charges upto Rs. 800/- Per Month Per Candidate for the Month of January-2026</t>
  </si>
  <si>
    <t>HRTS2526293</t>
  </si>
  <si>
    <t>25/12/2025
22/01/2026</t>
  </si>
  <si>
    <t>31/12/2025
22/01/2026</t>
  </si>
  <si>
    <t>HRTS2526294</t>
  </si>
  <si>
    <t>HRTS2526295</t>
  </si>
  <si>
    <t>HRTS2526296</t>
  </si>
  <si>
    <t>HRTS2526297</t>
  </si>
  <si>
    <t>HRTS2526298</t>
  </si>
  <si>
    <t>Invoice for the month of January-2026 towards supply of outsourced manpower for 618 Employees for all SBU.</t>
  </si>
  <si>
    <t>Invoice towards Health Insurance coverage for 9 candidates joined in January-2026.</t>
  </si>
  <si>
    <t>Invoice for the month of January-2026 towards the engagement of 91 apprentices under the Optional Trade category through the Apprenticeship India Portal.</t>
  </si>
  <si>
    <t>Invoice towards Leave Encashment For the year 2025</t>
  </si>
  <si>
    <t>Invoice towards Full &amp; Final Settlement to employees who left in the month of January-2026</t>
  </si>
  <si>
    <t>HRTS2526299</t>
  </si>
  <si>
    <t>HRTS2526300</t>
  </si>
  <si>
    <t>Professional fee towards for Providing Allied HR, Payroll and Statutory Compliance Services for the month of January-2026</t>
  </si>
  <si>
    <t>HRTS2526301</t>
  </si>
  <si>
    <t>Invoice for the month of February-2026 towards Overseas Allowance for the Employees working at Nepal T&amp;D BU</t>
  </si>
  <si>
    <t>HRTS2526302</t>
  </si>
  <si>
    <t>HRTS2526303</t>
  </si>
  <si>
    <t>HRTS2526304</t>
  </si>
  <si>
    <t>HRTS2526305</t>
  </si>
  <si>
    <t>HRTS2526306</t>
  </si>
  <si>
    <t>Invoice for the month of February-2026 towards Manpower Deployment Charges at M/s: BUILDCAST SOLUTIONS PRIVATE LIMITED</t>
  </si>
  <si>
    <t>Invoice for the month of February-2026 towards Manpower Supply Charges at M/s: RENEWSYS INDIA PRIVATE LIMITED</t>
  </si>
  <si>
    <t>Invoice for Good Work Pay for the month of February-2026 towards Manpower Supply Charges at M/s: RENEWSYS INDIA PRIVATE LIMITED</t>
  </si>
  <si>
    <t>HRTS2526307</t>
  </si>
  <si>
    <t xml:space="preserve">MIDWEST NEOSTONE PRIVATE LIMITED
</t>
  </si>
  <si>
    <t>37AAKCM7686H1ZR</t>
  </si>
  <si>
    <t>Invoice for the month of February-2026 towards the Manpower Deployment charges for 14 employees at M/s. Midwest Neostone Pvt. Limited</t>
  </si>
  <si>
    <t>HRTS2526308</t>
  </si>
  <si>
    <t>HRTS2526309</t>
  </si>
  <si>
    <t>HRTS2526310</t>
  </si>
  <si>
    <t>HRTS2526311</t>
  </si>
  <si>
    <t>12-Mar</t>
  </si>
  <si>
    <t>HRTS2526312</t>
  </si>
  <si>
    <t>Towards Professional fee for providing RPO for the month of March-26
12 Recruiters @ Rs.72,050/- PPPM.
1 Staffing Coordinator @ 53,350/- PPPM and 15 Sr. Specialist Recruiter @99,751/- PPPM</t>
  </si>
  <si>
    <t>a)Towards Reimbursement of Mobile Bill &amp; Wifi Charges upto Rs. 800/- Per Month Per Candidate for the Month of February-2026</t>
  </si>
  <si>
    <t>Towards Professional fee for providing Recruitment Process
Outsourcing Services for the month of March-2026 (Ms. BOMMU
CHARMILA BABI) 1 HR Executive @ Rs. 89,000/- per person per
month</t>
  </si>
  <si>
    <t>Towards Professional fee for providing Recruitment Process Outsourcing Services for the month of March-2026 a) One Sr. Recruiter @ Rs.1,58,333/- and b) Three Principal Recruitment Business Partner @ Rs. 1,90,000/-</t>
  </si>
  <si>
    <t>HRTS2526313</t>
  </si>
  <si>
    <t>HRTS2526314</t>
  </si>
  <si>
    <t>24AABCS7280C1ZL</t>
  </si>
  <si>
    <t>JINDAL SAW LIMITED</t>
  </si>
  <si>
    <t>Bill for Manpower fo the M/O Feb-2026</t>
  </si>
  <si>
    <t>37AAJCB8570E1ZG</t>
  </si>
  <si>
    <t>BLUE STAR CLIMATECH LIMITED</t>
  </si>
  <si>
    <t>Towards Salary Invoice for February-2026 towards Contract Manpower Supply paid</t>
  </si>
  <si>
    <t>Invoice for the month of February-2026 towards Manpower Deployment Charges for 297 Employee’s at M/s: INOX Solar Ltd. @ Bavla Location, Gujarat</t>
  </si>
  <si>
    <t>HRTS2526315</t>
  </si>
  <si>
    <t>HRTS2526316</t>
  </si>
  <si>
    <t>Invoice for the month of February-2026 towards
Manpower Deployment Charges for 1 Employees
at M/s: ADANI WATER LIMITED., @ Bhagalpur
Site</t>
  </si>
  <si>
    <t>HRTS2526317</t>
  </si>
  <si>
    <t>HRTS2526318</t>
  </si>
  <si>
    <t>HRTS2526319</t>
  </si>
  <si>
    <t>HRTS2526320</t>
  </si>
  <si>
    <t>Invoice for the month of February-2026 towards the engagement of 88 apprentices
under the Optional Trade category through the Apprenticeship India Portal.</t>
  </si>
  <si>
    <t>Invoice for the month of February-2026 towards supply of outsourced manpower for 605 Employees for all SBU.</t>
  </si>
  <si>
    <t>Invoice towards February-26 Insurance Billing Particulars</t>
  </si>
  <si>
    <t>Invoice towards Full &amp; Final Settlement to employees who left in the month of February-2026</t>
  </si>
  <si>
    <t>HRTS2526321</t>
  </si>
  <si>
    <t>HRTS2526322</t>
  </si>
  <si>
    <t>HRTS2526323</t>
  </si>
  <si>
    <t>Invoice for the month of February 2026 towards Manpower Deployment Charges at M/s: VISHAKHA METALS PRIVATE LIMITED., Machine Shop Department.</t>
  </si>
  <si>
    <t>Invoice for the month of February 2026 towards Manpower Deployment Charges at M/s: VISHAKHA METALS PRIVATE LIMITED., Quality Department.</t>
  </si>
  <si>
    <t>Invoice for the month of February 2026 towards Manpower Deployment Charges at M/s: VISHAKHA METALS PRIVATE LIMITED., Maintenance Department.</t>
  </si>
  <si>
    <t>HRTS2526324</t>
  </si>
  <si>
    <t>HRTS2526325</t>
  </si>
  <si>
    <t>Professional fee towards for Providing Allied HR, Payroll and Statutory Compliance Services for the month of February-2026</t>
  </si>
  <si>
    <t>HSBC BANK</t>
  </si>
  <si>
    <t>HRTS2526326</t>
  </si>
  <si>
    <t>HRTS2526327</t>
  </si>
  <si>
    <t>HRTS2526328</t>
  </si>
  <si>
    <t>HRTS2526329</t>
  </si>
  <si>
    <t>RTGS</t>
  </si>
  <si>
    <t>HDFC Bank</t>
  </si>
  <si>
    <t>HRTS2526330</t>
  </si>
  <si>
    <t>HRTS2526331</t>
  </si>
  <si>
    <t>HRTS2526332</t>
  </si>
  <si>
    <t>HRTS2526333</t>
  </si>
  <si>
    <t>HRTS2526334</t>
  </si>
  <si>
    <t>HRTS2526335</t>
  </si>
  <si>
    <t>Invoice for the month of March-2026 towards supply of outsourced manpower for 591 Employees for all SBU</t>
  </si>
  <si>
    <t>Invoice towards March-26 Insurance Billing Particulars</t>
  </si>
  <si>
    <t>Invoice for the month of March-2026 towards Overseas Allowance for the Employees working at Nepal T&amp;D BU.</t>
  </si>
  <si>
    <t>Invoice towards Full &amp; Final Settlement to employees who left in the month of March-2026</t>
  </si>
  <si>
    <t>Invoice for the month of March-2026 towards Manpower Supply Charges at M/s: RENEWSYS INDIA PRIVATE LIMITED</t>
  </si>
  <si>
    <t>Invoice for Good Work Pay for the month of March-2026 towards Manpower Supply Charges at M/s: RENEWSYS INDIA PRIVATE LIMITED</t>
  </si>
  <si>
    <t>Invoice for the month of March-2026 towards Manpower Deployment Charges at M/s: BUILDCAST SOLUTIONS PRIVATE LIMITED</t>
  </si>
  <si>
    <t>HRTS2526336</t>
  </si>
  <si>
    <t>Invoice for the month of March-2026 towards the engagement of 77 apprentices under the Optional Trade category through the Apprenticeship India Portal</t>
  </si>
  <si>
    <t>Invoice for the month of MARCH-2026 towards the Manpower Deployment charges for 15 employees at M/s. MIDWEST NEOSTONE PRIVATE LIMITED</t>
  </si>
  <si>
    <t>HRTS2526337</t>
  </si>
  <si>
    <t>Invoice for the month of March-2026 Arrears</t>
  </si>
  <si>
    <t>HRTS2526338</t>
  </si>
  <si>
    <t>Towards Salary Invoice for March-2026- towards Contract Manpower Supply paid</t>
  </si>
  <si>
    <t>HRTS2526339</t>
  </si>
  <si>
    <t>Invoice for the month of March-2026 towards
Manpower Deployment Charges for 1 Employees
at M/s: ADANI WATER LIMITED., @ Bhagalpur
Site</t>
  </si>
  <si>
    <t>HRTS2526340</t>
  </si>
  <si>
    <t>355 EMPLOYEES IN INOX</t>
  </si>
  <si>
    <t>Bill for Manpower fo the M/O March-2026</t>
  </si>
  <si>
    <t>HRTS2526341</t>
  </si>
  <si>
    <t>Invoice for the month of March-2026 towards Manpower Deployment Charges for 311 Employee’s at M/s: INOX Solar Ltd. @ Bavla Location, Gujarat</t>
  </si>
  <si>
    <t>HRTS2526342</t>
  </si>
  <si>
    <t>24AAICG2951R1Z3</t>
  </si>
  <si>
    <t>GOLDI SUN PRIVATE LIMITED</t>
  </si>
  <si>
    <t>HRTS2526343</t>
  </si>
  <si>
    <t>HRTS2526344</t>
  </si>
  <si>
    <t>HRTS2526345</t>
  </si>
  <si>
    <t>Invoice for the month of March 2026 towards Manpower Deployment Charges at M/s: VISHAKHA METALS PRIVATE LIMITED., Machine Shop Department.</t>
  </si>
  <si>
    <t>Invoice for the month of March 2026 towards Manpower Deployment Charges at M/s: VISHAKHA METALS PRIVATE LIMITED., Quality Department.</t>
  </si>
  <si>
    <t>Invoice for the month of March 2026 towards Manpower Deployment Charges at M/s: VISHAKHA METALS PRIVATE LIMITED., Maintenance Department.</t>
  </si>
  <si>
    <t>M/s. Goldi Sun Private Limited Manpower Outsourcing Services Invoice for the month of March-2026, Manpower Count 11</t>
  </si>
  <si>
    <t>HRTS2526346</t>
  </si>
  <si>
    <t>24AAFCV5222P3ZZ</t>
  </si>
  <si>
    <t>HRTS2526347</t>
  </si>
  <si>
    <t>Invoice for the month of March 2026 towards Transportation Charges at M/s:VISHAKHA METALS PRIVATE LIMITED.,.</t>
  </si>
  <si>
    <t>20-03-2026 &amp; 06-04-2026</t>
  </si>
  <si>
    <t>AXIS BANK</t>
  </si>
  <si>
    <t>998599</t>
  </si>
  <si>
    <t>Invoice for the month of March 2026 towards Manpower Deployment Charges at M/s: VISHAKHA METALS PRIVATE LIMITED., ANODIZING - SHOT BLASTING Department.</t>
  </si>
  <si>
    <t>April-26</t>
  </si>
  <si>
    <t>06-04-2026 &amp; 30-04-2026</t>
  </si>
  <si>
    <t>13-05-2026 &amp; 03-06-2026</t>
  </si>
  <si>
    <t>21-04-2026 &amp; 01-05-2026</t>
  </si>
  <si>
    <t>30-03-2026 &amp; 01-05-2026</t>
  </si>
  <si>
    <t>27-02-2026 &amp; 28-03-2026</t>
  </si>
  <si>
    <t>20-02-2026 &amp; 27-02-2026</t>
  </si>
  <si>
    <t>29-01-2026 &amp; 27-02-2026</t>
  </si>
  <si>
    <t>Others - Medical, WC Policy, Uniform Allowance</t>
  </si>
  <si>
    <t>10-04-2026 &amp; 21-05-2026</t>
  </si>
  <si>
    <t>28-04-2026 &amp; 22-05-2026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</si>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</sst>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[$-409]d\-mmm\-yy;@"/>
    <numFmt numFmtId="166" formatCode="000000"/>
    <numFmt numFmtId="167" formatCode="_ * #,##0_ ;_ * \-#,##0_ ;_ * &quot;-&quot;??_ ;_ @_ "/>
    <numFmt numFmtId="168" formatCode="_(* #,##0_);_(* \(#,##0\);_(* &quot;-&quot;??_);_(@_)"/>
    <numFmt numFmtId="169" formatCode="0.0%"/>
  </numFmts>
  <fonts count="157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b/>
      <sz val="10"/>
      <color theme="1"/>
      <name val="Verdana"/>
      <family val="2"/>
    </font>
    <font>
      <sz val="9"/>
      <color theme="1"/>
      <name val="Verdana"/>
      <family val="2"/>
    </font>
    <font>
      <sz val="8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rgb="FF000000"/>
      <name val="Verdana"/>
      <family val="2"/>
    </font>
    <font>
      <sz val="8"/>
      <name val="Verdana"/>
      <family val="2"/>
    </font>
    <font>
      <sz val="8"/>
      <color rgb="FF000000"/>
      <name val="Verdana"/>
      <family val="2"/>
    </font>
    <font>
      <sz val="10"/>
      <color rgb="FFFF0000"/>
      <name val="Verdana"/>
      <family val="2"/>
    </font>
    <font>
      <b/>
      <sz val="11"/>
      <name val="Verdana"/>
      <family val="2"/>
    </font>
    <font>
      <b/>
      <sz val="10"/>
      <color rgb="FFFF0000"/>
      <name val="Verdana"/>
      <family val="2"/>
    </font>
    <font>
      <b/>
      <sz val="11"/>
      <color rgb="FFFF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41" fillId="0" borderId="0" applyFont="0" applyFill="0" applyBorder="0" applyAlignment="0" applyProtection="0"/>
    <xf numFmtId="164" fontId="141" fillId="0" borderId="0" applyFont="0" applyFill="0" applyBorder="0" applyAlignment="0" applyProtection="0"/>
    <xf numFmtId="43" fontId="141" fillId="0" borderId="0" applyFont="0" applyFill="0" applyBorder="0" applyAlignment="0" applyProtection="0"/>
  </cellStyleXfs>
  <cellXfs count="415">
    <xf numFmtId="0" fontId="0" fillId="0" borderId="0" xfId="0"/>
    <xf numFmtId="0" fontId="142" fillId="2" borderId="4" xfId="0" applyFont="1" applyFill="1" applyBorder="1" applyAlignment="1">
      <alignment horizontal="center" vertical="center" wrapText="1"/>
    </xf>
    <xf numFmtId="0" fontId="142" fillId="0" borderId="0" xfId="0" applyFont="1" applyAlignment="1">
      <alignment horizontal="center" vertical="center" wrapText="1"/>
    </xf>
    <xf numFmtId="0" fontId="143" fillId="0" borderId="4" xfId="0" quotePrefix="1" applyFont="1" applyBorder="1" applyAlignment="1">
      <alignment horizontal="center" vertical="center"/>
    </xf>
    <xf numFmtId="16" fontId="143" fillId="0" borderId="4" xfId="0" quotePrefix="1" applyNumberFormat="1" applyFont="1" applyBorder="1" applyAlignment="1">
      <alignment horizontal="center" vertical="center"/>
    </xf>
    <xf numFmtId="165" fontId="143" fillId="0" borderId="4" xfId="0" applyNumberFormat="1" applyFont="1" applyBorder="1" applyAlignment="1">
      <alignment horizontal="right" vertical="center"/>
    </xf>
    <xf numFmtId="166" fontId="144" fillId="0" borderId="4" xfId="0" applyNumberFormat="1" applyFont="1" applyBorder="1" applyAlignment="1">
      <alignment horizontal="right" vertical="center"/>
    </xf>
    <xf numFmtId="0" fontId="143" fillId="0" borderId="4" xfId="0" applyFont="1" applyBorder="1" applyAlignment="1">
      <alignment vertical="center"/>
    </xf>
    <xf numFmtId="0" fontId="144" fillId="0" borderId="4" xfId="0" applyFont="1" applyBorder="1" applyAlignment="1">
      <alignment vertical="center"/>
    </xf>
    <xf numFmtId="10" fontId="144" fillId="0" borderId="5" xfId="1" applyNumberFormat="1" applyFont="1" applyBorder="1" applyAlignment="1">
      <alignment vertical="center"/>
    </xf>
    <xf numFmtId="2" fontId="144" fillId="0" borderId="4" xfId="0" applyNumberFormat="1" applyFont="1" applyBorder="1" applyAlignment="1">
      <alignment vertical="center"/>
    </xf>
    <xf numFmtId="0" fontId="144" fillId="0" borderId="0" xfId="0" applyFont="1" applyAlignment="1">
      <alignment vertical="center"/>
    </xf>
    <xf numFmtId="0" fontId="144" fillId="0" borderId="0" xfId="0" applyFont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142" fillId="2" borderId="1" xfId="0" applyFont="1" applyFill="1" applyBorder="1" applyAlignment="1">
      <alignment horizontal="center" vertical="center" wrapText="1"/>
    </xf>
    <xf numFmtId="0" fontId="142" fillId="2" borderId="2" xfId="0" applyFont="1" applyFill="1" applyBorder="1" applyAlignment="1">
      <alignment horizontal="center" vertical="center" wrapText="1"/>
    </xf>
    <xf numFmtId="0" fontId="142" fillId="2" borderId="3" xfId="0" applyFont="1" applyFill="1" applyBorder="1" applyAlignment="1">
      <alignment horizontal="center" vertical="center" wrapText="1"/>
    </xf>
    <xf numFmtId="0" fontId="142" fillId="0" borderId="0" xfId="0" applyFont="1" applyAlignment="1">
      <alignment horizontal="center" vertical="center"/>
    </xf>
    <xf numFmtId="165" fontId="143" fillId="0" borderId="4" xfId="0" applyNumberFormat="1" applyFont="1" applyBorder="1" applyAlignment="1">
      <alignment horizontal="center" vertical="center"/>
    </xf>
    <xf numFmtId="0" fontId="144" fillId="0" borderId="4" xfId="0" applyFont="1" applyBorder="1" applyAlignment="1">
      <alignment horizontal="center" vertical="center"/>
    </xf>
    <xf numFmtId="0" fontId="144" fillId="0" borderId="4" xfId="0" applyFont="1" applyBorder="1" applyAlignment="1">
      <alignment horizontal="left" vertical="center"/>
    </xf>
    <xf numFmtId="167" fontId="144" fillId="0" borderId="4" xfId="2" applyNumberFormat="1" applyFont="1" applyBorder="1" applyAlignment="1">
      <alignment vertical="center"/>
    </xf>
    <xf numFmtId="167" fontId="143" fillId="0" borderId="4" xfId="2" applyNumberFormat="1" applyFont="1" applyBorder="1" applyAlignment="1">
      <alignment vertical="center"/>
    </xf>
    <xf numFmtId="167" fontId="145" fillId="0" borderId="4" xfId="2" applyNumberFormat="1" applyFont="1" applyBorder="1" applyAlignment="1">
      <alignment horizontal="right" vertical="center"/>
    </xf>
    <xf numFmtId="0" fontId="144" fillId="0" borderId="4" xfId="0" applyFont="1" applyBorder="1" applyAlignment="1">
      <alignment vertical="center" wrapText="1"/>
    </xf>
    <xf numFmtId="0" fontId="146" fillId="0" borderId="0" xfId="0" applyFont="1" applyAlignment="1">
      <alignment vertical="center"/>
    </xf>
    <xf numFmtId="167" fontId="144" fillId="0" borderId="0" xfId="0" applyNumberFormat="1" applyFont="1" applyAlignment="1">
      <alignment vertical="center"/>
    </xf>
    <xf numFmtId="43" fontId="144" fillId="0" borderId="0" xfId="0" applyNumberFormat="1" applyFont="1" applyAlignment="1">
      <alignment vertical="center"/>
    </xf>
    <xf numFmtId="0" fontId="145" fillId="0" borderId="4" xfId="0" quotePrefix="1" applyFont="1" applyBorder="1" applyAlignment="1">
      <alignment horizontal="center" vertical="center"/>
    </xf>
    <xf numFmtId="16" fontId="145" fillId="0" borderId="4" xfId="0" quotePrefix="1" applyNumberFormat="1" applyFont="1" applyBorder="1" applyAlignment="1">
      <alignment horizontal="center" vertical="center"/>
    </xf>
    <xf numFmtId="165" fontId="145" fillId="0" borderId="4" xfId="0" applyNumberFormat="1" applyFont="1" applyBorder="1" applyAlignment="1">
      <alignment horizontal="center" vertical="center"/>
    </xf>
    <xf numFmtId="0" fontId="142" fillId="0" borderId="4" xfId="0" applyFont="1" applyBorder="1" applyAlignment="1">
      <alignment vertical="center"/>
    </xf>
    <xf numFmtId="10" fontId="142" fillId="0" borderId="5" xfId="1" applyNumberFormat="1" applyFont="1" applyBorder="1" applyAlignment="1">
      <alignment vertical="center"/>
    </xf>
    <xf numFmtId="165" fontId="145" fillId="0" borderId="4" xfId="0" applyNumberFormat="1" applyFont="1" applyBorder="1" applyAlignment="1">
      <alignment horizontal="right" vertical="center"/>
    </xf>
    <xf numFmtId="166" fontId="142" fillId="0" borderId="4" xfId="0" applyNumberFormat="1" applyFont="1" applyBorder="1" applyAlignment="1">
      <alignment horizontal="right" vertical="center"/>
    </xf>
    <xf numFmtId="2" fontId="142" fillId="0" borderId="4" xfId="0" applyNumberFormat="1" applyFont="1" applyBorder="1" applyAlignment="1">
      <alignment vertical="center"/>
    </xf>
    <xf numFmtId="0" fontId="145" fillId="0" borderId="4" xfId="0" applyFont="1" applyBorder="1" applyAlignment="1">
      <alignment vertical="center"/>
    </xf>
    <xf numFmtId="0" fontId="142" fillId="0" borderId="0" xfId="0" applyFont="1" applyAlignment="1">
      <alignment vertical="center"/>
    </xf>
    <xf numFmtId="168" fontId="144" fillId="0" borderId="0" xfId="0" applyNumberFormat="1" applyFont="1" applyAlignment="1">
      <alignment vertical="center"/>
    </xf>
    <xf numFmtId="167" fontId="142" fillId="0" borderId="4" xfId="2" applyNumberFormat="1" applyFont="1" applyFill="1" applyBorder="1" applyAlignment="1">
      <alignment vertical="center"/>
    </xf>
    <xf numFmtId="167" fontId="144" fillId="0" borderId="4" xfId="2" applyNumberFormat="1" applyFont="1" applyFill="1" applyBorder="1" applyAlignment="1">
      <alignment horizontal="right" vertical="center"/>
    </xf>
    <xf numFmtId="167" fontId="145" fillId="0" borderId="4" xfId="2" applyNumberFormat="1" applyFont="1" applyFill="1" applyBorder="1" applyAlignment="1">
      <alignment horizontal="right" vertical="center"/>
    </xf>
    <xf numFmtId="165" fontId="139" fillId="0" borderId="4" xfId="0" applyNumberFormat="1" applyFont="1" applyBorder="1" applyAlignment="1">
      <alignment horizontal="center" vertical="center"/>
    </xf>
    <xf numFmtId="167" fontId="139" fillId="0" borderId="4" xfId="2" applyNumberFormat="1" applyFont="1" applyFill="1" applyBorder="1" applyAlignment="1">
      <alignment horizontal="right" vertical="center"/>
    </xf>
    <xf numFmtId="165" fontId="138" fillId="0" borderId="4" xfId="0" applyNumberFormat="1" applyFont="1" applyBorder="1" applyAlignment="1">
      <alignment horizontal="right" vertical="center"/>
    </xf>
    <xf numFmtId="167" fontId="142" fillId="0" borderId="4" xfId="3" applyNumberFormat="1" applyFont="1" applyBorder="1" applyAlignment="1">
      <alignment vertical="center"/>
    </xf>
    <xf numFmtId="165" fontId="140" fillId="0" borderId="4" xfId="0" applyNumberFormat="1" applyFont="1" applyBorder="1" applyAlignment="1">
      <alignment horizontal="center" vertical="center"/>
    </xf>
    <xf numFmtId="9" fontId="144" fillId="0" borderId="0" xfId="1" applyFont="1" applyAlignment="1">
      <alignment vertical="center"/>
    </xf>
    <xf numFmtId="2" fontId="144" fillId="0" borderId="4" xfId="0" applyNumberFormat="1" applyFont="1" applyBorder="1" applyAlignment="1">
      <alignment horizontal="left" vertical="center" wrapText="1"/>
    </xf>
    <xf numFmtId="167" fontId="144" fillId="0" borderId="4" xfId="0" applyNumberFormat="1" applyFont="1" applyBorder="1" applyAlignment="1">
      <alignment vertical="center"/>
    </xf>
    <xf numFmtId="167" fontId="144" fillId="0" borderId="4" xfId="0" applyNumberFormat="1" applyFont="1" applyBorder="1" applyAlignment="1">
      <alignment horizontal="left" vertical="center"/>
    </xf>
    <xf numFmtId="165" fontId="137" fillId="0" borderId="4" xfId="0" applyNumberFormat="1" applyFont="1" applyBorder="1" applyAlignment="1">
      <alignment horizontal="right" vertical="center" wrapText="1"/>
    </xf>
    <xf numFmtId="0" fontId="148" fillId="0" borderId="4" xfId="0" applyFont="1" applyBorder="1" applyAlignment="1">
      <alignment horizontal="center" vertical="center" wrapText="1"/>
    </xf>
    <xf numFmtId="0" fontId="148" fillId="0" borderId="0" xfId="0" applyFont="1" applyAlignment="1">
      <alignment horizontal="center" vertical="center" wrapText="1"/>
    </xf>
    <xf numFmtId="0" fontId="149" fillId="0" borderId="4" xfId="0" applyFont="1" applyBorder="1"/>
    <xf numFmtId="167" fontId="149" fillId="0" borderId="4" xfId="2" applyNumberFormat="1" applyFont="1" applyBorder="1"/>
    <xf numFmtId="167" fontId="149" fillId="0" borderId="0" xfId="0" applyNumberFormat="1" applyFont="1"/>
    <xf numFmtId="0" fontId="149" fillId="0" borderId="0" xfId="0" applyFont="1"/>
    <xf numFmtId="0" fontId="148" fillId="0" borderId="4" xfId="0" applyFont="1" applyBorder="1"/>
    <xf numFmtId="167" fontId="148" fillId="0" borderId="4" xfId="2" applyNumberFormat="1" applyFont="1" applyBorder="1"/>
    <xf numFmtId="165" fontId="136" fillId="0" borderId="4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8" fontId="149" fillId="0" borderId="0" xfId="2" applyNumberFormat="1" applyFont="1"/>
    <xf numFmtId="2" fontId="144" fillId="0" borderId="0" xfId="2" applyNumberFormat="1" applyFont="1" applyAlignment="1">
      <alignment vertical="center"/>
    </xf>
    <xf numFmtId="1" fontId="139" fillId="0" borderId="4" xfId="0" applyNumberFormat="1" applyFont="1" applyBorder="1" applyAlignment="1">
      <alignment horizontal="center" vertical="center"/>
    </xf>
    <xf numFmtId="167" fontId="136" fillId="0" borderId="4" xfId="2" applyNumberFormat="1" applyFont="1" applyBorder="1" applyAlignment="1">
      <alignment vertical="center"/>
    </xf>
    <xf numFmtId="165" fontId="136" fillId="0" borderId="4" xfId="0" applyNumberFormat="1" applyFont="1" applyBorder="1" applyAlignment="1">
      <alignment horizontal="right" vertical="center"/>
    </xf>
    <xf numFmtId="165" fontId="136" fillId="0" borderId="4" xfId="0" applyNumberFormat="1" applyFont="1" applyBorder="1" applyAlignment="1">
      <alignment horizontal="right" vertical="center" wrapText="1"/>
    </xf>
    <xf numFmtId="164" fontId="144" fillId="0" borderId="0" xfId="2" applyFont="1" applyAlignment="1">
      <alignment vertical="center"/>
    </xf>
    <xf numFmtId="165" fontId="135" fillId="0" borderId="4" xfId="0" applyNumberFormat="1" applyFont="1" applyBorder="1" applyAlignment="1">
      <alignment horizontal="center" vertical="center"/>
    </xf>
    <xf numFmtId="1" fontId="135" fillId="0" borderId="4" xfId="0" applyNumberFormat="1" applyFont="1" applyBorder="1" applyAlignment="1">
      <alignment horizontal="center" vertical="center"/>
    </xf>
    <xf numFmtId="167" fontId="135" fillId="0" borderId="4" xfId="2" applyNumberFormat="1" applyFont="1" applyFill="1" applyBorder="1" applyAlignment="1">
      <alignment horizontal="right" vertical="center"/>
    </xf>
    <xf numFmtId="165" fontId="135" fillId="0" borderId="4" xfId="0" applyNumberFormat="1" applyFont="1" applyBorder="1" applyAlignment="1">
      <alignment horizontal="right" vertical="center"/>
    </xf>
    <xf numFmtId="165" fontId="135" fillId="0" borderId="4" xfId="0" quotePrefix="1" applyNumberFormat="1" applyFont="1" applyBorder="1" applyAlignment="1">
      <alignment horizontal="center" vertical="center"/>
    </xf>
    <xf numFmtId="165" fontId="134" fillId="0" borderId="4" xfId="0" applyNumberFormat="1" applyFont="1" applyBorder="1" applyAlignment="1">
      <alignment horizontal="center" vertical="center"/>
    </xf>
    <xf numFmtId="1" fontId="134" fillId="0" borderId="4" xfId="0" applyNumberFormat="1" applyFont="1" applyBorder="1" applyAlignment="1">
      <alignment horizontal="center" vertical="center"/>
    </xf>
    <xf numFmtId="165" fontId="133" fillId="0" borderId="4" xfId="0" applyNumberFormat="1" applyFont="1" applyBorder="1" applyAlignment="1">
      <alignment horizontal="center" vertical="center"/>
    </xf>
    <xf numFmtId="1" fontId="133" fillId="0" borderId="4" xfId="0" applyNumberFormat="1" applyFont="1" applyBorder="1" applyAlignment="1">
      <alignment horizontal="center" vertical="center"/>
    </xf>
    <xf numFmtId="167" fontId="133" fillId="0" borderId="4" xfId="2" applyNumberFormat="1" applyFont="1" applyFill="1" applyBorder="1" applyAlignment="1">
      <alignment horizontal="right" vertical="center"/>
    </xf>
    <xf numFmtId="165" fontId="133" fillId="0" borderId="4" xfId="0" applyNumberFormat="1" applyFont="1" applyBorder="1" applyAlignment="1">
      <alignment horizontal="right" vertical="center"/>
    </xf>
    <xf numFmtId="165" fontId="132" fillId="0" borderId="4" xfId="0" applyNumberFormat="1" applyFont="1" applyBorder="1" applyAlignment="1">
      <alignment horizontal="center" vertical="center"/>
    </xf>
    <xf numFmtId="1" fontId="132" fillId="0" borderId="4" xfId="0" applyNumberFormat="1" applyFont="1" applyBorder="1" applyAlignment="1">
      <alignment horizontal="center" vertical="center"/>
    </xf>
    <xf numFmtId="167" fontId="132" fillId="0" borderId="4" xfId="2" applyNumberFormat="1" applyFont="1" applyFill="1" applyBorder="1" applyAlignment="1">
      <alignment horizontal="right" vertical="center"/>
    </xf>
    <xf numFmtId="165" fontId="132" fillId="0" borderId="4" xfId="0" applyNumberFormat="1" applyFont="1" applyBorder="1" applyAlignment="1">
      <alignment horizontal="right" vertical="center"/>
    </xf>
    <xf numFmtId="165" fontId="131" fillId="0" borderId="4" xfId="0" applyNumberFormat="1" applyFont="1" applyBorder="1" applyAlignment="1">
      <alignment horizontal="center" vertical="center"/>
    </xf>
    <xf numFmtId="1" fontId="131" fillId="0" borderId="4" xfId="0" applyNumberFormat="1" applyFont="1" applyBorder="1" applyAlignment="1">
      <alignment horizontal="center" vertical="center"/>
    </xf>
    <xf numFmtId="167" fontId="131" fillId="0" borderId="4" xfId="2" applyNumberFormat="1" applyFont="1" applyFill="1" applyBorder="1" applyAlignment="1">
      <alignment horizontal="right" vertical="center"/>
    </xf>
    <xf numFmtId="165" fontId="131" fillId="0" borderId="4" xfId="0" applyNumberFormat="1" applyFont="1" applyBorder="1" applyAlignment="1">
      <alignment horizontal="right" vertical="center"/>
    </xf>
    <xf numFmtId="165" fontId="130" fillId="0" borderId="4" xfId="0" applyNumberFormat="1" applyFont="1" applyBorder="1" applyAlignment="1">
      <alignment horizontal="center" vertical="center"/>
    </xf>
    <xf numFmtId="1" fontId="130" fillId="0" borderId="4" xfId="0" applyNumberFormat="1" applyFont="1" applyBorder="1" applyAlignment="1">
      <alignment horizontal="center" vertical="center"/>
    </xf>
    <xf numFmtId="167" fontId="130" fillId="0" borderId="4" xfId="2" applyNumberFormat="1" applyFont="1" applyFill="1" applyBorder="1" applyAlignment="1">
      <alignment horizontal="right" vertical="center"/>
    </xf>
    <xf numFmtId="165" fontId="130" fillId="0" borderId="4" xfId="0" applyNumberFormat="1" applyFont="1" applyBorder="1" applyAlignment="1">
      <alignment horizontal="right" vertical="center"/>
    </xf>
    <xf numFmtId="165" fontId="129" fillId="0" borderId="4" xfId="0" applyNumberFormat="1" applyFont="1" applyBorder="1" applyAlignment="1">
      <alignment horizontal="center" vertical="center"/>
    </xf>
    <xf numFmtId="1" fontId="129" fillId="0" borderId="4" xfId="0" applyNumberFormat="1" applyFont="1" applyBorder="1" applyAlignment="1">
      <alignment horizontal="center" vertical="center"/>
    </xf>
    <xf numFmtId="167" fontId="129" fillId="0" borderId="4" xfId="2" applyNumberFormat="1" applyFont="1" applyFill="1" applyBorder="1" applyAlignment="1">
      <alignment horizontal="right" vertical="center"/>
    </xf>
    <xf numFmtId="165" fontId="129" fillId="0" borderId="4" xfId="0" applyNumberFormat="1" applyFont="1" applyBorder="1" applyAlignment="1">
      <alignment horizontal="right" vertical="center"/>
    </xf>
    <xf numFmtId="165" fontId="128" fillId="0" borderId="4" xfId="0" applyNumberFormat="1" applyFont="1" applyBorder="1" applyAlignment="1">
      <alignment horizontal="center" vertical="center"/>
    </xf>
    <xf numFmtId="1" fontId="128" fillId="0" borderId="4" xfId="0" applyNumberFormat="1" applyFont="1" applyBorder="1" applyAlignment="1">
      <alignment horizontal="center" vertical="center"/>
    </xf>
    <xf numFmtId="167" fontId="128" fillId="0" borderId="4" xfId="2" applyNumberFormat="1" applyFont="1" applyFill="1" applyBorder="1" applyAlignment="1">
      <alignment horizontal="right" vertical="center"/>
    </xf>
    <xf numFmtId="165" fontId="128" fillId="0" borderId="4" xfId="0" applyNumberFormat="1" applyFont="1" applyBorder="1" applyAlignment="1">
      <alignment horizontal="right" vertical="center"/>
    </xf>
    <xf numFmtId="167" fontId="128" fillId="0" borderId="4" xfId="2" applyNumberFormat="1" applyFont="1" applyBorder="1" applyAlignment="1">
      <alignment vertical="center"/>
    </xf>
    <xf numFmtId="165" fontId="127" fillId="0" borderId="4" xfId="0" applyNumberFormat="1" applyFont="1" applyBorder="1" applyAlignment="1">
      <alignment horizontal="center" vertical="center"/>
    </xf>
    <xf numFmtId="1" fontId="127" fillId="0" borderId="4" xfId="0" applyNumberFormat="1" applyFont="1" applyBorder="1" applyAlignment="1">
      <alignment horizontal="center" vertical="center"/>
    </xf>
    <xf numFmtId="167" fontId="127" fillId="0" borderId="4" xfId="2" applyNumberFormat="1" applyFont="1" applyFill="1" applyBorder="1" applyAlignment="1">
      <alignment horizontal="right" vertical="center"/>
    </xf>
    <xf numFmtId="165" fontId="127" fillId="0" borderId="4" xfId="0" applyNumberFormat="1" applyFont="1" applyBorder="1" applyAlignment="1">
      <alignment horizontal="right" vertical="center"/>
    </xf>
    <xf numFmtId="165" fontId="126" fillId="0" borderId="4" xfId="0" applyNumberFormat="1" applyFont="1" applyBorder="1" applyAlignment="1">
      <alignment horizontal="center" vertical="center"/>
    </xf>
    <xf numFmtId="1" fontId="126" fillId="0" borderId="4" xfId="0" applyNumberFormat="1" applyFont="1" applyBorder="1" applyAlignment="1">
      <alignment horizontal="center" vertical="center"/>
    </xf>
    <xf numFmtId="167" fontId="126" fillId="0" borderId="4" xfId="2" applyNumberFormat="1" applyFont="1" applyFill="1" applyBorder="1" applyAlignment="1">
      <alignment horizontal="right" vertical="center"/>
    </xf>
    <xf numFmtId="165" fontId="126" fillId="0" borderId="4" xfId="0" applyNumberFormat="1" applyFont="1" applyBorder="1" applyAlignment="1">
      <alignment horizontal="right" vertical="center"/>
    </xf>
    <xf numFmtId="165" fontId="125" fillId="0" borderId="4" xfId="0" applyNumberFormat="1" applyFont="1" applyBorder="1" applyAlignment="1">
      <alignment horizontal="center" vertical="center"/>
    </xf>
    <xf numFmtId="165" fontId="124" fillId="0" borderId="4" xfId="0" applyNumberFormat="1" applyFont="1" applyBorder="1" applyAlignment="1">
      <alignment horizontal="center" vertical="center"/>
    </xf>
    <xf numFmtId="1" fontId="124" fillId="0" borderId="4" xfId="0" applyNumberFormat="1" applyFont="1" applyBorder="1" applyAlignment="1">
      <alignment horizontal="center" vertical="center"/>
    </xf>
    <xf numFmtId="167" fontId="124" fillId="0" borderId="4" xfId="2" applyNumberFormat="1" applyFont="1" applyFill="1" applyBorder="1" applyAlignment="1">
      <alignment horizontal="right" vertical="center"/>
    </xf>
    <xf numFmtId="165" fontId="124" fillId="0" borderId="4" xfId="0" applyNumberFormat="1" applyFont="1" applyBorder="1" applyAlignment="1">
      <alignment horizontal="right" vertical="center"/>
    </xf>
    <xf numFmtId="165" fontId="123" fillId="0" borderId="4" xfId="0" applyNumberFormat="1" applyFont="1" applyBorder="1" applyAlignment="1">
      <alignment horizontal="center" vertical="center"/>
    </xf>
    <xf numFmtId="165" fontId="122" fillId="0" borderId="4" xfId="0" applyNumberFormat="1" applyFont="1" applyBorder="1" applyAlignment="1">
      <alignment horizontal="center" vertical="center"/>
    </xf>
    <xf numFmtId="1" fontId="122" fillId="0" borderId="4" xfId="0" applyNumberFormat="1" applyFont="1" applyBorder="1" applyAlignment="1">
      <alignment horizontal="center" vertical="center"/>
    </xf>
    <xf numFmtId="167" fontId="122" fillId="0" borderId="4" xfId="2" applyNumberFormat="1" applyFont="1" applyFill="1" applyBorder="1" applyAlignment="1">
      <alignment horizontal="right" vertical="center"/>
    </xf>
    <xf numFmtId="165" fontId="122" fillId="0" borderId="4" xfId="0" applyNumberFormat="1" applyFont="1" applyBorder="1" applyAlignment="1">
      <alignment horizontal="right" vertical="center"/>
    </xf>
    <xf numFmtId="165" fontId="121" fillId="0" borderId="4" xfId="0" applyNumberFormat="1" applyFont="1" applyBorder="1" applyAlignment="1">
      <alignment horizontal="center" vertical="center"/>
    </xf>
    <xf numFmtId="1" fontId="121" fillId="0" borderId="4" xfId="0" applyNumberFormat="1" applyFont="1" applyBorder="1" applyAlignment="1">
      <alignment horizontal="center" vertical="center"/>
    </xf>
    <xf numFmtId="167" fontId="121" fillId="0" borderId="4" xfId="2" applyNumberFormat="1" applyFont="1" applyFill="1" applyBorder="1" applyAlignment="1">
      <alignment horizontal="right" vertical="center"/>
    </xf>
    <xf numFmtId="165" fontId="120" fillId="0" borderId="4" xfId="0" applyNumberFormat="1" applyFont="1" applyBorder="1" applyAlignment="1">
      <alignment horizontal="center" vertical="center"/>
    </xf>
    <xf numFmtId="1" fontId="120" fillId="0" borderId="4" xfId="0" applyNumberFormat="1" applyFont="1" applyBorder="1" applyAlignment="1">
      <alignment horizontal="center" vertical="center"/>
    </xf>
    <xf numFmtId="167" fontId="120" fillId="0" borderId="4" xfId="2" applyNumberFormat="1" applyFont="1" applyFill="1" applyBorder="1" applyAlignment="1">
      <alignment horizontal="right" vertical="center"/>
    </xf>
    <xf numFmtId="165" fontId="119" fillId="0" borderId="4" xfId="0" applyNumberFormat="1" applyFont="1" applyBorder="1" applyAlignment="1">
      <alignment horizontal="center" vertical="center"/>
    </xf>
    <xf numFmtId="1" fontId="119" fillId="0" borderId="4" xfId="0" applyNumberFormat="1" applyFont="1" applyBorder="1" applyAlignment="1">
      <alignment horizontal="center" vertical="center"/>
    </xf>
    <xf numFmtId="167" fontId="119" fillId="0" borderId="4" xfId="2" applyNumberFormat="1" applyFont="1" applyFill="1" applyBorder="1" applyAlignment="1">
      <alignment horizontal="right" vertical="center"/>
    </xf>
    <xf numFmtId="165" fontId="119" fillId="0" borderId="4" xfId="0" applyNumberFormat="1" applyFont="1" applyBorder="1" applyAlignment="1">
      <alignment horizontal="right" vertical="center"/>
    </xf>
    <xf numFmtId="165" fontId="118" fillId="0" borderId="4" xfId="0" applyNumberFormat="1" applyFont="1" applyBorder="1" applyAlignment="1">
      <alignment horizontal="center" vertical="center"/>
    </xf>
    <xf numFmtId="1" fontId="118" fillId="0" borderId="4" xfId="0" applyNumberFormat="1" applyFont="1" applyBorder="1" applyAlignment="1">
      <alignment horizontal="center" vertical="center"/>
    </xf>
    <xf numFmtId="167" fontId="118" fillId="0" borderId="4" xfId="2" applyNumberFormat="1" applyFont="1" applyFill="1" applyBorder="1" applyAlignment="1">
      <alignment horizontal="right" vertical="center"/>
    </xf>
    <xf numFmtId="165" fontId="117" fillId="0" borderId="4" xfId="0" applyNumberFormat="1" applyFont="1" applyBorder="1" applyAlignment="1">
      <alignment horizontal="center" vertical="center"/>
    </xf>
    <xf numFmtId="1" fontId="117" fillId="0" borderId="4" xfId="0" applyNumberFormat="1" applyFont="1" applyBorder="1" applyAlignment="1">
      <alignment horizontal="center" vertical="center"/>
    </xf>
    <xf numFmtId="167" fontId="117" fillId="0" borderId="4" xfId="2" applyNumberFormat="1" applyFont="1" applyFill="1" applyBorder="1" applyAlignment="1">
      <alignment horizontal="right" vertical="center"/>
    </xf>
    <xf numFmtId="165" fontId="117" fillId="0" borderId="4" xfId="0" applyNumberFormat="1" applyFont="1" applyBorder="1" applyAlignment="1">
      <alignment horizontal="right" vertical="center"/>
    </xf>
    <xf numFmtId="165" fontId="116" fillId="0" borderId="4" xfId="0" applyNumberFormat="1" applyFont="1" applyBorder="1" applyAlignment="1">
      <alignment horizontal="center" vertical="center"/>
    </xf>
    <xf numFmtId="1" fontId="116" fillId="0" borderId="4" xfId="0" applyNumberFormat="1" applyFont="1" applyBorder="1" applyAlignment="1">
      <alignment horizontal="center" vertical="center"/>
    </xf>
    <xf numFmtId="167" fontId="116" fillId="0" borderId="4" xfId="2" applyNumberFormat="1" applyFont="1" applyFill="1" applyBorder="1" applyAlignment="1">
      <alignment horizontal="right" vertical="center"/>
    </xf>
    <xf numFmtId="165" fontId="115" fillId="0" borderId="4" xfId="0" applyNumberFormat="1" applyFont="1" applyBorder="1" applyAlignment="1">
      <alignment horizontal="center" vertical="center"/>
    </xf>
    <xf numFmtId="1" fontId="115" fillId="0" borderId="4" xfId="0" applyNumberFormat="1" applyFont="1" applyBorder="1" applyAlignment="1">
      <alignment horizontal="center" vertical="center"/>
    </xf>
    <xf numFmtId="167" fontId="115" fillId="0" borderId="4" xfId="2" applyNumberFormat="1" applyFont="1" applyFill="1" applyBorder="1" applyAlignment="1">
      <alignment horizontal="right" vertical="center"/>
    </xf>
    <xf numFmtId="165" fontId="115" fillId="0" borderId="4" xfId="0" applyNumberFormat="1" applyFont="1" applyBorder="1" applyAlignment="1">
      <alignment horizontal="right" vertical="center"/>
    </xf>
    <xf numFmtId="165" fontId="114" fillId="0" borderId="4" xfId="0" applyNumberFormat="1" applyFont="1" applyBorder="1" applyAlignment="1">
      <alignment horizontal="center" vertical="center"/>
    </xf>
    <xf numFmtId="1" fontId="114" fillId="0" borderId="4" xfId="0" applyNumberFormat="1" applyFont="1" applyBorder="1" applyAlignment="1">
      <alignment horizontal="center" vertical="center"/>
    </xf>
    <xf numFmtId="165" fontId="113" fillId="0" borderId="4" xfId="0" applyNumberFormat="1" applyFont="1" applyBorder="1" applyAlignment="1">
      <alignment horizontal="center" vertical="center"/>
    </xf>
    <xf numFmtId="1" fontId="113" fillId="0" borderId="4" xfId="0" applyNumberFormat="1" applyFont="1" applyBorder="1" applyAlignment="1">
      <alignment horizontal="center" vertical="center"/>
    </xf>
    <xf numFmtId="167" fontId="113" fillId="0" borderId="4" xfId="2" applyNumberFormat="1" applyFont="1" applyFill="1" applyBorder="1" applyAlignment="1">
      <alignment horizontal="right" vertical="center"/>
    </xf>
    <xf numFmtId="165" fontId="112" fillId="0" borderId="4" xfId="0" applyNumberFormat="1" applyFont="1" applyBorder="1" applyAlignment="1">
      <alignment horizontal="right" vertical="center" wrapText="1"/>
    </xf>
    <xf numFmtId="165" fontId="112" fillId="0" borderId="4" xfId="0" applyNumberFormat="1" applyFont="1" applyBorder="1" applyAlignment="1">
      <alignment horizontal="center" vertical="center"/>
    </xf>
    <xf numFmtId="1" fontId="112" fillId="0" borderId="4" xfId="0" applyNumberFormat="1" applyFont="1" applyBorder="1" applyAlignment="1">
      <alignment horizontal="center" vertical="center"/>
    </xf>
    <xf numFmtId="167" fontId="112" fillId="0" borderId="4" xfId="2" applyNumberFormat="1" applyFont="1" applyFill="1" applyBorder="1" applyAlignment="1">
      <alignment horizontal="right" vertical="center"/>
    </xf>
    <xf numFmtId="165" fontId="112" fillId="0" borderId="4" xfId="0" applyNumberFormat="1" applyFont="1" applyBorder="1" applyAlignment="1">
      <alignment horizontal="right" vertical="center"/>
    </xf>
    <xf numFmtId="16" fontId="111" fillId="0" borderId="4" xfId="0" quotePrefix="1" applyNumberFormat="1" applyFont="1" applyBorder="1" applyAlignment="1">
      <alignment horizontal="center" vertical="center"/>
    </xf>
    <xf numFmtId="165" fontId="110" fillId="0" borderId="4" xfId="0" applyNumberFormat="1" applyFont="1" applyBorder="1" applyAlignment="1">
      <alignment horizontal="center" vertical="center"/>
    </xf>
    <xf numFmtId="1" fontId="110" fillId="0" borderId="4" xfId="0" applyNumberFormat="1" applyFont="1" applyBorder="1" applyAlignment="1">
      <alignment horizontal="center" vertical="center"/>
    </xf>
    <xf numFmtId="167" fontId="110" fillId="0" borderId="4" xfId="2" applyNumberFormat="1" applyFont="1" applyFill="1" applyBorder="1" applyAlignment="1">
      <alignment horizontal="right" vertical="center"/>
    </xf>
    <xf numFmtId="165" fontId="110" fillId="0" borderId="4" xfId="0" applyNumberFormat="1" applyFont="1" applyBorder="1" applyAlignment="1">
      <alignment horizontal="right" vertical="center" wrapText="1"/>
    </xf>
    <xf numFmtId="165" fontId="109" fillId="0" borderId="4" xfId="0" quotePrefix="1" applyNumberFormat="1" applyFont="1" applyBorder="1" applyAlignment="1">
      <alignment horizontal="center" vertical="center"/>
    </xf>
    <xf numFmtId="165" fontId="111" fillId="0" borderId="4" xfId="0" applyNumberFormat="1" applyFont="1" applyBorder="1" applyAlignment="1">
      <alignment horizontal="center" vertical="center"/>
    </xf>
    <xf numFmtId="1" fontId="111" fillId="0" borderId="4" xfId="0" applyNumberFormat="1" applyFont="1" applyBorder="1" applyAlignment="1">
      <alignment horizontal="center" vertical="center"/>
    </xf>
    <xf numFmtId="167" fontId="142" fillId="0" borderId="4" xfId="3" applyNumberFormat="1" applyFont="1" applyFill="1" applyBorder="1" applyAlignment="1">
      <alignment vertical="center"/>
    </xf>
    <xf numFmtId="167" fontId="136" fillId="0" borderId="4" xfId="2" applyNumberFormat="1" applyFont="1" applyFill="1" applyBorder="1" applyAlignment="1">
      <alignment vertical="center"/>
    </xf>
    <xf numFmtId="165" fontId="108" fillId="0" borderId="4" xfId="0" applyNumberFormat="1" applyFont="1" applyBorder="1" applyAlignment="1">
      <alignment horizontal="center" vertical="center"/>
    </xf>
    <xf numFmtId="1" fontId="108" fillId="0" borderId="4" xfId="0" applyNumberFormat="1" applyFont="1" applyBorder="1" applyAlignment="1">
      <alignment horizontal="center" vertical="center"/>
    </xf>
    <xf numFmtId="167" fontId="108" fillId="0" borderId="4" xfId="2" applyNumberFormat="1" applyFont="1" applyFill="1" applyBorder="1" applyAlignment="1">
      <alignment horizontal="right" vertical="center"/>
    </xf>
    <xf numFmtId="165" fontId="107" fillId="0" borderId="4" xfId="0" applyNumberFormat="1" applyFont="1" applyBorder="1" applyAlignment="1">
      <alignment horizontal="center" vertical="center"/>
    </xf>
    <xf numFmtId="1" fontId="107" fillId="0" borderId="4" xfId="0" applyNumberFormat="1" applyFont="1" applyBorder="1" applyAlignment="1">
      <alignment horizontal="center" vertical="center"/>
    </xf>
    <xf numFmtId="167" fontId="107" fillId="0" borderId="4" xfId="2" applyNumberFormat="1" applyFont="1" applyFill="1" applyBorder="1" applyAlignment="1">
      <alignment horizontal="right" vertical="center"/>
    </xf>
    <xf numFmtId="165" fontId="106" fillId="0" borderId="4" xfId="0" applyNumberFormat="1" applyFont="1" applyBorder="1" applyAlignment="1">
      <alignment horizontal="center" vertical="center"/>
    </xf>
    <xf numFmtId="165" fontId="105" fillId="0" borderId="4" xfId="0" applyNumberFormat="1" applyFont="1" applyBorder="1" applyAlignment="1">
      <alignment horizontal="center" vertical="center"/>
    </xf>
    <xf numFmtId="1" fontId="105" fillId="0" borderId="4" xfId="0" applyNumberFormat="1" applyFont="1" applyBorder="1" applyAlignment="1">
      <alignment horizontal="center" vertical="center"/>
    </xf>
    <xf numFmtId="167" fontId="105" fillId="0" borderId="4" xfId="2" applyNumberFormat="1" applyFont="1" applyFill="1" applyBorder="1" applyAlignment="1">
      <alignment horizontal="right" vertical="center"/>
    </xf>
    <xf numFmtId="165" fontId="104" fillId="0" borderId="4" xfId="0" applyNumberFormat="1" applyFont="1" applyBorder="1" applyAlignment="1">
      <alignment horizontal="center" vertical="center"/>
    </xf>
    <xf numFmtId="1" fontId="104" fillId="0" borderId="4" xfId="0" applyNumberFormat="1" applyFont="1" applyBorder="1" applyAlignment="1">
      <alignment horizontal="center" vertical="center"/>
    </xf>
    <xf numFmtId="167" fontId="104" fillId="0" borderId="4" xfId="2" applyNumberFormat="1" applyFont="1" applyFill="1" applyBorder="1" applyAlignment="1">
      <alignment horizontal="right" vertical="center"/>
    </xf>
    <xf numFmtId="165" fontId="104" fillId="0" borderId="4" xfId="0" applyNumberFormat="1" applyFont="1" applyBorder="1" applyAlignment="1">
      <alignment horizontal="right" vertical="center"/>
    </xf>
    <xf numFmtId="165" fontId="103" fillId="0" borderId="4" xfId="0" applyNumberFormat="1" applyFont="1" applyBorder="1" applyAlignment="1">
      <alignment horizontal="center" vertical="center"/>
    </xf>
    <xf numFmtId="165" fontId="102" fillId="0" borderId="4" xfId="0" applyNumberFormat="1" applyFont="1" applyBorder="1" applyAlignment="1">
      <alignment horizontal="center" vertical="center"/>
    </xf>
    <xf numFmtId="165" fontId="101" fillId="0" borderId="4" xfId="0" applyNumberFormat="1" applyFont="1" applyBorder="1" applyAlignment="1">
      <alignment horizontal="center" vertical="center"/>
    </xf>
    <xf numFmtId="165" fontId="100" fillId="0" borderId="4" xfId="0" applyNumberFormat="1" applyFont="1" applyBorder="1" applyAlignment="1">
      <alignment horizontal="right" vertical="center" wrapText="1"/>
    </xf>
    <xf numFmtId="165" fontId="99" fillId="0" borderId="4" xfId="0" applyNumberFormat="1" applyFont="1" applyBorder="1" applyAlignment="1">
      <alignment horizontal="center" vertical="center"/>
    </xf>
    <xf numFmtId="165" fontId="99" fillId="0" borderId="4" xfId="0" applyNumberFormat="1" applyFont="1" applyBorder="1" applyAlignment="1">
      <alignment horizontal="right" vertical="center"/>
    </xf>
    <xf numFmtId="167" fontId="99" fillId="0" borderId="4" xfId="2" applyNumberFormat="1" applyFont="1" applyBorder="1" applyAlignment="1">
      <alignment vertical="center"/>
    </xf>
    <xf numFmtId="165" fontId="98" fillId="0" borderId="4" xfId="0" applyNumberFormat="1" applyFont="1" applyBorder="1" applyAlignment="1">
      <alignment horizontal="center" vertical="center"/>
    </xf>
    <xf numFmtId="165" fontId="97" fillId="0" borderId="4" xfId="0" applyNumberFormat="1" applyFont="1" applyBorder="1" applyAlignment="1">
      <alignment horizontal="center" vertical="center"/>
    </xf>
    <xf numFmtId="165" fontId="96" fillId="0" borderId="4" xfId="0" applyNumberFormat="1" applyFont="1" applyBorder="1" applyAlignment="1">
      <alignment horizontal="center" vertical="center"/>
    </xf>
    <xf numFmtId="165" fontId="95" fillId="0" borderId="4" xfId="0" applyNumberFormat="1" applyFont="1" applyBorder="1" applyAlignment="1">
      <alignment horizontal="center" vertical="center"/>
    </xf>
    <xf numFmtId="165" fontId="94" fillId="0" borderId="4" xfId="0" quotePrefix="1" applyNumberFormat="1" applyFont="1" applyBorder="1" applyAlignment="1">
      <alignment horizontal="center" vertical="center"/>
    </xf>
    <xf numFmtId="165" fontId="94" fillId="0" borderId="4" xfId="0" applyNumberFormat="1" applyFont="1" applyBorder="1" applyAlignment="1">
      <alignment horizontal="center" vertical="center"/>
    </xf>
    <xf numFmtId="165" fontId="93" fillId="0" borderId="4" xfId="0" applyNumberFormat="1" applyFont="1" applyBorder="1" applyAlignment="1">
      <alignment horizontal="center" vertical="center"/>
    </xf>
    <xf numFmtId="165" fontId="92" fillId="0" borderId="4" xfId="0" applyNumberFormat="1" applyFont="1" applyBorder="1" applyAlignment="1">
      <alignment horizontal="center" vertical="center"/>
    </xf>
    <xf numFmtId="1" fontId="92" fillId="0" borderId="4" xfId="0" applyNumberFormat="1" applyFont="1" applyBorder="1" applyAlignment="1">
      <alignment horizontal="center" vertical="center"/>
    </xf>
    <xf numFmtId="0" fontId="92" fillId="0" borderId="4" xfId="0" quotePrefix="1" applyFont="1" applyBorder="1" applyAlignment="1">
      <alignment horizontal="center" vertical="center"/>
    </xf>
    <xf numFmtId="16" fontId="92" fillId="0" borderId="4" xfId="0" quotePrefix="1" applyNumberFormat="1" applyFont="1" applyBorder="1" applyAlignment="1">
      <alignment horizontal="center" vertical="center"/>
    </xf>
    <xf numFmtId="167" fontId="144" fillId="0" borderId="4" xfId="3" applyNumberFormat="1" applyFont="1" applyFill="1" applyBorder="1" applyAlignment="1">
      <alignment vertical="center"/>
    </xf>
    <xf numFmtId="167" fontId="92" fillId="0" borderId="4" xfId="2" applyNumberFormat="1" applyFont="1" applyFill="1" applyBorder="1" applyAlignment="1">
      <alignment horizontal="right" vertical="center"/>
    </xf>
    <xf numFmtId="167" fontId="92" fillId="0" borderId="4" xfId="2" applyNumberFormat="1" applyFont="1" applyBorder="1" applyAlignment="1">
      <alignment horizontal="right" vertical="center"/>
    </xf>
    <xf numFmtId="165" fontId="92" fillId="0" borderId="4" xfId="0" applyNumberFormat="1" applyFont="1" applyBorder="1" applyAlignment="1">
      <alignment horizontal="right" vertical="center"/>
    </xf>
    <xf numFmtId="0" fontId="92" fillId="0" borderId="4" xfId="0" applyFont="1" applyBorder="1" applyAlignment="1">
      <alignment vertical="center"/>
    </xf>
    <xf numFmtId="167" fontId="142" fillId="0" borderId="4" xfId="2" applyNumberFormat="1" applyFont="1" applyFill="1" applyBorder="1" applyAlignment="1">
      <alignment horizontal="right" vertical="center"/>
    </xf>
    <xf numFmtId="165" fontId="91" fillId="0" borderId="4" xfId="0" quotePrefix="1" applyNumberFormat="1" applyFont="1" applyBorder="1" applyAlignment="1">
      <alignment horizontal="center" vertical="center"/>
    </xf>
    <xf numFmtId="16" fontId="90" fillId="0" borderId="4" xfId="0" quotePrefix="1" applyNumberFormat="1" applyFont="1" applyBorder="1" applyAlignment="1">
      <alignment horizontal="center" vertical="center"/>
    </xf>
    <xf numFmtId="165" fontId="90" fillId="0" borderId="4" xfId="0" applyNumberFormat="1" applyFont="1" applyBorder="1" applyAlignment="1">
      <alignment horizontal="center" vertical="center"/>
    </xf>
    <xf numFmtId="165" fontId="89" fillId="0" borderId="4" xfId="0" applyNumberFormat="1" applyFont="1" applyBorder="1" applyAlignment="1">
      <alignment horizontal="center" vertical="center"/>
    </xf>
    <xf numFmtId="1" fontId="89" fillId="0" borderId="4" xfId="0" applyNumberFormat="1" applyFont="1" applyBorder="1" applyAlignment="1">
      <alignment horizontal="center" vertical="center"/>
    </xf>
    <xf numFmtId="165" fontId="88" fillId="0" borderId="4" xfId="0" applyNumberFormat="1" applyFont="1" applyBorder="1" applyAlignment="1">
      <alignment horizontal="center" vertical="center"/>
    </xf>
    <xf numFmtId="165" fontId="87" fillId="0" borderId="4" xfId="0" applyNumberFormat="1" applyFont="1" applyBorder="1" applyAlignment="1">
      <alignment horizontal="right" vertical="center" wrapText="1"/>
    </xf>
    <xf numFmtId="165" fontId="86" fillId="0" borderId="4" xfId="0" applyNumberFormat="1" applyFont="1" applyBorder="1" applyAlignment="1">
      <alignment horizontal="right" vertical="center" wrapText="1"/>
    </xf>
    <xf numFmtId="165" fontId="85" fillId="0" borderId="4" xfId="0" applyNumberFormat="1" applyFont="1" applyBorder="1" applyAlignment="1">
      <alignment horizontal="center" vertical="center"/>
    </xf>
    <xf numFmtId="165" fontId="84" fillId="0" borderId="4" xfId="0" applyNumberFormat="1" applyFont="1" applyBorder="1" applyAlignment="1">
      <alignment horizontal="center" vertical="center"/>
    </xf>
    <xf numFmtId="165" fontId="83" fillId="0" borderId="4" xfId="0" applyNumberFormat="1" applyFont="1" applyBorder="1" applyAlignment="1">
      <alignment horizontal="center" vertical="center"/>
    </xf>
    <xf numFmtId="165" fontId="82" fillId="0" borderId="4" xfId="0" applyNumberFormat="1" applyFont="1" applyBorder="1" applyAlignment="1">
      <alignment horizontal="center" vertical="center"/>
    </xf>
    <xf numFmtId="1" fontId="82" fillId="0" borderId="4" xfId="0" applyNumberFormat="1" applyFont="1" applyBorder="1" applyAlignment="1">
      <alignment horizontal="center" vertical="center"/>
    </xf>
    <xf numFmtId="167" fontId="82" fillId="0" borderId="4" xfId="2" applyNumberFormat="1" applyFont="1" applyFill="1" applyBorder="1" applyAlignment="1">
      <alignment horizontal="right" vertical="center"/>
    </xf>
    <xf numFmtId="165" fontId="82" fillId="0" borderId="4" xfId="0" applyNumberFormat="1" applyFont="1" applyBorder="1" applyAlignment="1">
      <alignment horizontal="right" vertical="center"/>
    </xf>
    <xf numFmtId="165" fontId="82" fillId="0" borderId="4" xfId="0" applyNumberFormat="1" applyFont="1" applyBorder="1" applyAlignment="1">
      <alignment horizontal="right" vertical="center" wrapText="1"/>
    </xf>
    <xf numFmtId="0" fontId="144" fillId="0" borderId="4" xfId="0" applyFont="1" applyBorder="1" applyAlignment="1">
      <alignment horizontal="left" vertical="center" wrapText="1"/>
    </xf>
    <xf numFmtId="165" fontId="81" fillId="0" borderId="4" xfId="0" applyNumberFormat="1" applyFont="1" applyBorder="1" applyAlignment="1">
      <alignment horizontal="center" vertical="center"/>
    </xf>
    <xf numFmtId="165" fontId="80" fillId="0" borderId="4" xfId="0" applyNumberFormat="1" applyFont="1" applyBorder="1" applyAlignment="1">
      <alignment horizontal="right" vertical="center" wrapText="1"/>
    </xf>
    <xf numFmtId="165" fontId="79" fillId="0" borderId="4" xfId="0" applyNumberFormat="1" applyFont="1" applyBorder="1" applyAlignment="1">
      <alignment horizontal="center" vertical="center"/>
    </xf>
    <xf numFmtId="165" fontId="78" fillId="0" borderId="4" xfId="0" applyNumberFormat="1" applyFont="1" applyBorder="1" applyAlignment="1">
      <alignment horizontal="center" vertical="center"/>
    </xf>
    <xf numFmtId="1" fontId="78" fillId="0" borderId="4" xfId="0" applyNumberFormat="1" applyFont="1" applyBorder="1" applyAlignment="1">
      <alignment horizontal="center" vertical="center"/>
    </xf>
    <xf numFmtId="167" fontId="78" fillId="0" borderId="4" xfId="2" applyNumberFormat="1" applyFont="1" applyFill="1" applyBorder="1" applyAlignment="1">
      <alignment horizontal="right" vertical="center"/>
    </xf>
    <xf numFmtId="165" fontId="77" fillId="0" borderId="4" xfId="0" applyNumberFormat="1" applyFont="1" applyBorder="1" applyAlignment="1">
      <alignment horizontal="center" vertical="center"/>
    </xf>
    <xf numFmtId="43" fontId="136" fillId="0" borderId="4" xfId="2" applyNumberFormat="1" applyFont="1" applyBorder="1" applyAlignment="1">
      <alignment vertical="center"/>
    </xf>
    <xf numFmtId="165" fontId="76" fillId="0" borderId="4" xfId="0" quotePrefix="1" applyNumberFormat="1" applyFont="1" applyBorder="1" applyAlignment="1">
      <alignment horizontal="center" vertical="center"/>
    </xf>
    <xf numFmtId="165" fontId="74" fillId="0" borderId="4" xfId="0" applyNumberFormat="1" applyFont="1" applyBorder="1" applyAlignment="1">
      <alignment horizontal="center" vertical="center"/>
    </xf>
    <xf numFmtId="0" fontId="144" fillId="2" borderId="4" xfId="0" applyFont="1" applyFill="1" applyBorder="1" applyAlignment="1">
      <alignment vertical="center" wrapText="1"/>
    </xf>
    <xf numFmtId="167" fontId="73" fillId="0" borderId="4" xfId="2" applyNumberFormat="1" applyFont="1" applyFill="1" applyBorder="1" applyAlignment="1">
      <alignment horizontal="right" vertical="center"/>
    </xf>
    <xf numFmtId="165" fontId="72" fillId="0" borderId="4" xfId="0" applyNumberFormat="1" applyFont="1" applyBorder="1" applyAlignment="1">
      <alignment horizontal="center" vertical="center"/>
    </xf>
    <xf numFmtId="165" fontId="71" fillId="0" borderId="4" xfId="0" applyNumberFormat="1" applyFont="1" applyBorder="1" applyAlignment="1">
      <alignment horizontal="right" vertical="center" wrapText="1"/>
    </xf>
    <xf numFmtId="167" fontId="144" fillId="0" borderId="4" xfId="2" applyNumberFormat="1" applyFont="1" applyFill="1" applyBorder="1" applyAlignment="1">
      <alignment vertical="center"/>
    </xf>
    <xf numFmtId="10" fontId="144" fillId="0" borderId="5" xfId="1" applyNumberFormat="1" applyFont="1" applyFill="1" applyBorder="1" applyAlignment="1">
      <alignment vertical="center"/>
    </xf>
    <xf numFmtId="0" fontId="142" fillId="3" borderId="4" xfId="0" applyFont="1" applyFill="1" applyBorder="1" applyAlignment="1">
      <alignment horizontal="center" vertical="center" wrapText="1"/>
    </xf>
    <xf numFmtId="167" fontId="145" fillId="3" borderId="4" xfId="2" applyNumberFormat="1" applyFont="1" applyFill="1" applyBorder="1" applyAlignment="1">
      <alignment horizontal="right" vertical="center"/>
    </xf>
    <xf numFmtId="167" fontId="145" fillId="0" borderId="5" xfId="2" applyNumberFormat="1" applyFont="1" applyFill="1" applyBorder="1" applyAlignment="1">
      <alignment horizontal="right" vertical="center"/>
    </xf>
    <xf numFmtId="0" fontId="142" fillId="4" borderId="4" xfId="0" applyFont="1" applyFill="1" applyBorder="1" applyAlignment="1">
      <alignment horizontal="center" vertical="center" wrapText="1"/>
    </xf>
    <xf numFmtId="167" fontId="145" fillId="4" borderId="4" xfId="2" applyNumberFormat="1" applyFont="1" applyFill="1" applyBorder="1" applyAlignment="1">
      <alignment horizontal="right" vertical="center"/>
    </xf>
    <xf numFmtId="165" fontId="70" fillId="0" borderId="4" xfId="0" applyNumberFormat="1" applyFont="1" applyBorder="1" applyAlignment="1">
      <alignment horizontal="center" vertical="center"/>
    </xf>
    <xf numFmtId="165" fontId="69" fillId="0" borderId="4" xfId="0" applyNumberFormat="1" applyFont="1" applyBorder="1" applyAlignment="1">
      <alignment horizontal="center" vertical="center"/>
    </xf>
    <xf numFmtId="165" fontId="68" fillId="0" borderId="4" xfId="0" quotePrefix="1" applyNumberFormat="1" applyFont="1" applyBorder="1" applyAlignment="1">
      <alignment horizontal="center" vertical="center"/>
    </xf>
    <xf numFmtId="16" fontId="67" fillId="0" borderId="4" xfId="0" quotePrefix="1" applyNumberFormat="1" applyFont="1" applyBorder="1" applyAlignment="1">
      <alignment horizontal="center" vertical="center"/>
    </xf>
    <xf numFmtId="165" fontId="66" fillId="0" borderId="4" xfId="0" applyNumberFormat="1" applyFont="1" applyBorder="1" applyAlignment="1">
      <alignment horizontal="center" vertical="center"/>
    </xf>
    <xf numFmtId="165" fontId="65" fillId="0" borderId="4" xfId="0" applyNumberFormat="1" applyFont="1" applyBorder="1" applyAlignment="1">
      <alignment horizontal="center" vertical="center"/>
    </xf>
    <xf numFmtId="165" fontId="64" fillId="0" borderId="4" xfId="0" applyNumberFormat="1" applyFont="1" applyBorder="1" applyAlignment="1">
      <alignment horizontal="right" vertical="center" wrapText="1"/>
    </xf>
    <xf numFmtId="167" fontId="144" fillId="2" borderId="4" xfId="2" applyNumberFormat="1" applyFont="1" applyFill="1" applyBorder="1" applyAlignment="1">
      <alignment vertical="center"/>
    </xf>
    <xf numFmtId="167" fontId="145" fillId="2" borderId="4" xfId="2" applyNumberFormat="1" applyFont="1" applyFill="1" applyBorder="1" applyAlignment="1">
      <alignment horizontal="right" vertical="center"/>
    </xf>
    <xf numFmtId="166" fontId="144" fillId="2" borderId="4" xfId="0" applyNumberFormat="1" applyFont="1" applyFill="1" applyBorder="1" applyAlignment="1">
      <alignment horizontal="right" vertical="center"/>
    </xf>
    <xf numFmtId="2" fontId="144" fillId="2" borderId="4" xfId="0" applyNumberFormat="1" applyFont="1" applyFill="1" applyBorder="1" applyAlignment="1">
      <alignment vertical="center"/>
    </xf>
    <xf numFmtId="165" fontId="64" fillId="2" borderId="4" xfId="0" applyNumberFormat="1" applyFont="1" applyFill="1" applyBorder="1" applyAlignment="1">
      <alignment horizontal="right" vertical="center" wrapText="1"/>
    </xf>
    <xf numFmtId="165" fontId="63" fillId="0" borderId="4" xfId="0" applyNumberFormat="1" applyFont="1" applyBorder="1" applyAlignment="1">
      <alignment horizontal="center" vertical="center"/>
    </xf>
    <xf numFmtId="1" fontId="63" fillId="0" borderId="4" xfId="0" applyNumberFormat="1" applyFont="1" applyBorder="1" applyAlignment="1">
      <alignment horizontal="center" vertical="center"/>
    </xf>
    <xf numFmtId="167" fontId="63" fillId="0" borderId="4" xfId="2" applyNumberFormat="1" applyFont="1" applyFill="1" applyBorder="1" applyAlignment="1">
      <alignment horizontal="right" vertical="center"/>
    </xf>
    <xf numFmtId="165" fontId="63" fillId="0" borderId="4" xfId="0" applyNumberFormat="1" applyFont="1" applyBorder="1" applyAlignment="1">
      <alignment horizontal="right" vertical="center" wrapText="1"/>
    </xf>
    <xf numFmtId="167" fontId="63" fillId="0" borderId="4" xfId="2" applyNumberFormat="1" applyFont="1" applyBorder="1" applyAlignment="1">
      <alignment vertical="center"/>
    </xf>
    <xf numFmtId="165" fontId="62" fillId="0" borderId="4" xfId="0" applyNumberFormat="1" applyFont="1" applyBorder="1" applyAlignment="1">
      <alignment horizontal="center" vertical="center"/>
    </xf>
    <xf numFmtId="165" fontId="62" fillId="0" borderId="4" xfId="0" applyNumberFormat="1" applyFont="1" applyBorder="1" applyAlignment="1">
      <alignment horizontal="right" vertical="center" wrapText="1"/>
    </xf>
    <xf numFmtId="165" fontId="61" fillId="0" borderId="4" xfId="0" applyNumberFormat="1" applyFont="1" applyBorder="1" applyAlignment="1">
      <alignment horizontal="right" vertical="center" wrapText="1"/>
    </xf>
    <xf numFmtId="165" fontId="60" fillId="0" borderId="4" xfId="0" applyNumberFormat="1" applyFont="1" applyBorder="1" applyAlignment="1">
      <alignment horizontal="center" vertical="center"/>
    </xf>
    <xf numFmtId="1" fontId="60" fillId="0" borderId="4" xfId="0" applyNumberFormat="1" applyFont="1" applyBorder="1" applyAlignment="1">
      <alignment horizontal="center" vertical="center"/>
    </xf>
    <xf numFmtId="165" fontId="59" fillId="0" borderId="4" xfId="0" applyNumberFormat="1" applyFont="1" applyBorder="1" applyAlignment="1">
      <alignment horizontal="center" vertical="center"/>
    </xf>
    <xf numFmtId="165" fontId="59" fillId="0" borderId="4" xfId="0" applyNumberFormat="1" applyFont="1" applyBorder="1" applyAlignment="1">
      <alignment horizontal="right" vertical="center" wrapText="1"/>
    </xf>
    <xf numFmtId="167" fontId="145" fillId="0" borderId="5" xfId="2" applyNumberFormat="1" applyFont="1" applyFill="1" applyBorder="1" applyAlignment="1">
      <alignment horizontal="left" vertical="center"/>
    </xf>
    <xf numFmtId="0" fontId="142" fillId="5" borderId="4" xfId="0" applyFont="1" applyFill="1" applyBorder="1" applyAlignment="1">
      <alignment horizontal="center" vertical="center" wrapText="1"/>
    </xf>
    <xf numFmtId="167" fontId="145" fillId="5" borderId="4" xfId="2" applyNumberFormat="1" applyFont="1" applyFill="1" applyBorder="1" applyAlignment="1">
      <alignment horizontal="right" vertical="center"/>
    </xf>
    <xf numFmtId="165" fontId="75" fillId="0" borderId="4" xfId="0" applyNumberFormat="1" applyFont="1" applyBorder="1" applyAlignment="1">
      <alignment horizontal="center" vertical="center"/>
    </xf>
    <xf numFmtId="165" fontId="58" fillId="0" borderId="4" xfId="0" applyNumberFormat="1" applyFont="1" applyBorder="1" applyAlignment="1">
      <alignment horizontal="right" vertical="center"/>
    </xf>
    <xf numFmtId="165" fontId="57" fillId="0" borderId="4" xfId="0" applyNumberFormat="1" applyFont="1" applyBorder="1" applyAlignment="1">
      <alignment horizontal="center" vertical="center"/>
    </xf>
    <xf numFmtId="165" fontId="56" fillId="0" borderId="4" xfId="0" applyNumberFormat="1" applyFont="1" applyBorder="1" applyAlignment="1">
      <alignment horizontal="right" vertical="center" wrapText="1"/>
    </xf>
    <xf numFmtId="165" fontId="55" fillId="0" borderId="4" xfId="0" applyNumberFormat="1" applyFont="1" applyBorder="1" applyAlignment="1">
      <alignment horizontal="right" vertical="center"/>
    </xf>
    <xf numFmtId="165" fontId="55" fillId="0" borderId="4" xfId="0" applyNumberFormat="1" applyFont="1" applyBorder="1" applyAlignment="1">
      <alignment horizontal="center" vertical="center"/>
    </xf>
    <xf numFmtId="165" fontId="54" fillId="0" borderId="4" xfId="0" applyNumberFormat="1" applyFont="1" applyBorder="1" applyAlignment="1">
      <alignment horizontal="right" vertical="center" wrapText="1"/>
    </xf>
    <xf numFmtId="165" fontId="53" fillId="0" borderId="4" xfId="0" applyNumberFormat="1" applyFont="1" applyBorder="1" applyAlignment="1">
      <alignment horizontal="center" vertical="center"/>
    </xf>
    <xf numFmtId="165" fontId="52" fillId="0" borderId="4" xfId="0" applyNumberFormat="1" applyFont="1" applyBorder="1" applyAlignment="1">
      <alignment horizontal="right" vertical="center" wrapText="1"/>
    </xf>
    <xf numFmtId="165" fontId="52" fillId="0" borderId="4" xfId="0" applyNumberFormat="1" applyFont="1" applyBorder="1" applyAlignment="1">
      <alignment horizontal="center" vertical="center"/>
    </xf>
    <xf numFmtId="165" fontId="51" fillId="0" borderId="4" xfId="0" applyNumberFormat="1" applyFont="1" applyBorder="1" applyAlignment="1">
      <alignment horizontal="center" vertical="center"/>
    </xf>
    <xf numFmtId="165" fontId="50" fillId="0" borderId="4" xfId="0" applyNumberFormat="1" applyFont="1" applyBorder="1" applyAlignment="1">
      <alignment horizontal="center" vertical="center"/>
    </xf>
    <xf numFmtId="165" fontId="49" fillId="0" borderId="4" xfId="0" applyNumberFormat="1" applyFont="1" applyBorder="1" applyAlignment="1">
      <alignment horizontal="center" vertical="center"/>
    </xf>
    <xf numFmtId="165" fontId="48" fillId="0" borderId="4" xfId="0" applyNumberFormat="1" applyFont="1" applyBorder="1" applyAlignment="1">
      <alignment horizontal="center" vertical="center"/>
    </xf>
    <xf numFmtId="165" fontId="47" fillId="0" borderId="4" xfId="0" applyNumberFormat="1" applyFont="1" applyBorder="1" applyAlignment="1">
      <alignment horizontal="center" vertical="center"/>
    </xf>
    <xf numFmtId="165" fontId="46" fillId="0" borderId="4" xfId="0" applyNumberFormat="1" applyFont="1" applyBorder="1" applyAlignment="1">
      <alignment horizontal="center" vertical="center"/>
    </xf>
    <xf numFmtId="16" fontId="45" fillId="0" borderId="4" xfId="0" quotePrefix="1" applyNumberFormat="1" applyFont="1" applyBorder="1" applyAlignment="1">
      <alignment horizontal="center" vertical="center"/>
    </xf>
    <xf numFmtId="165" fontId="44" fillId="0" borderId="4" xfId="0" applyNumberFormat="1" applyFont="1" applyBorder="1" applyAlignment="1">
      <alignment horizontal="center" vertical="center"/>
    </xf>
    <xf numFmtId="165" fontId="43" fillId="0" borderId="4" xfId="0" quotePrefix="1" applyNumberFormat="1" applyFont="1" applyBorder="1" applyAlignment="1">
      <alignment horizontal="center" vertical="center"/>
    </xf>
    <xf numFmtId="165" fontId="42" fillId="0" borderId="4" xfId="0" applyNumberFormat="1" applyFont="1" applyBorder="1" applyAlignment="1">
      <alignment horizontal="center" vertical="center"/>
    </xf>
    <xf numFmtId="165" fontId="41" fillId="0" borderId="4" xfId="0" applyNumberFormat="1" applyFont="1" applyBorder="1" applyAlignment="1">
      <alignment horizontal="center" vertical="center"/>
    </xf>
    <xf numFmtId="165" fontId="40" fillId="0" borderId="4" xfId="0" applyNumberFormat="1" applyFont="1" applyBorder="1" applyAlignment="1">
      <alignment horizontal="right" vertical="center" wrapText="1"/>
    </xf>
    <xf numFmtId="43" fontId="136" fillId="0" borderId="4" xfId="2" applyNumberFormat="1" applyFont="1" applyFill="1" applyBorder="1" applyAlignment="1">
      <alignment vertical="center"/>
    </xf>
    <xf numFmtId="165" fontId="39" fillId="0" borderId="4" xfId="0" applyNumberFormat="1" applyFont="1" applyBorder="1" applyAlignment="1">
      <alignment horizontal="center" vertical="center"/>
    </xf>
    <xf numFmtId="165" fontId="38" fillId="0" borderId="4" xfId="0" applyNumberFormat="1" applyFont="1" applyBorder="1" applyAlignment="1">
      <alignment horizontal="center" vertical="center"/>
    </xf>
    <xf numFmtId="165" fontId="37" fillId="0" borderId="4" xfId="0" applyNumberFormat="1" applyFont="1" applyBorder="1" applyAlignment="1">
      <alignment horizontal="center" vertical="center"/>
    </xf>
    <xf numFmtId="165" fontId="36" fillId="0" borderId="4" xfId="0" applyNumberFormat="1" applyFont="1" applyBorder="1" applyAlignment="1">
      <alignment horizontal="right" vertical="center" wrapText="1"/>
    </xf>
    <xf numFmtId="165" fontId="36" fillId="0" borderId="4" xfId="0" applyNumberFormat="1" applyFont="1" applyBorder="1" applyAlignment="1">
      <alignment horizontal="center" vertical="center"/>
    </xf>
    <xf numFmtId="165" fontId="35" fillId="0" borderId="4" xfId="0" applyNumberFormat="1" applyFont="1" applyBorder="1" applyAlignment="1">
      <alignment horizontal="center" vertical="center"/>
    </xf>
    <xf numFmtId="165" fontId="34" fillId="0" borderId="4" xfId="0" applyNumberFormat="1" applyFont="1" applyBorder="1" applyAlignment="1">
      <alignment horizontal="center" vertical="center"/>
    </xf>
    <xf numFmtId="165" fontId="33" fillId="0" borderId="4" xfId="0" applyNumberFormat="1" applyFont="1" applyBorder="1" applyAlignment="1">
      <alignment horizontal="center" vertical="center"/>
    </xf>
    <xf numFmtId="16" fontId="32" fillId="0" borderId="4" xfId="0" quotePrefix="1" applyNumberFormat="1" applyFont="1" applyBorder="1" applyAlignment="1">
      <alignment horizontal="center" vertical="center"/>
    </xf>
    <xf numFmtId="165" fontId="32" fillId="0" borderId="4" xfId="0" applyNumberFormat="1" applyFont="1" applyBorder="1" applyAlignment="1">
      <alignment horizontal="center" vertical="center"/>
    </xf>
    <xf numFmtId="165" fontId="31" fillId="0" borderId="4" xfId="0" applyNumberFormat="1" applyFont="1" applyBorder="1" applyAlignment="1">
      <alignment horizontal="center" vertical="center"/>
    </xf>
    <xf numFmtId="165" fontId="30" fillId="0" borderId="4" xfId="0" applyNumberFormat="1" applyFont="1" applyBorder="1" applyAlignment="1">
      <alignment horizontal="center" vertical="center"/>
    </xf>
    <xf numFmtId="165" fontId="29" fillId="0" borderId="4" xfId="0" applyNumberFormat="1" applyFont="1" applyBorder="1" applyAlignment="1">
      <alignment horizontal="center" vertical="center"/>
    </xf>
    <xf numFmtId="165" fontId="28" fillId="0" borderId="4" xfId="0" applyNumberFormat="1" applyFont="1" applyBorder="1" applyAlignment="1">
      <alignment horizontal="center" vertical="center"/>
    </xf>
    <xf numFmtId="165" fontId="27" fillId="0" borderId="4" xfId="0" quotePrefix="1" applyNumberFormat="1" applyFont="1" applyBorder="1" applyAlignment="1">
      <alignment horizontal="center" vertical="center"/>
    </xf>
    <xf numFmtId="165" fontId="26" fillId="0" borderId="4" xfId="0" applyNumberFormat="1" applyFont="1" applyBorder="1" applyAlignment="1">
      <alignment horizontal="center" vertical="center"/>
    </xf>
    <xf numFmtId="165" fontId="25" fillId="0" borderId="4" xfId="0" applyNumberFormat="1" applyFont="1" applyBorder="1" applyAlignment="1">
      <alignment horizontal="center" vertical="center"/>
    </xf>
    <xf numFmtId="165" fontId="24" fillId="0" borderId="4" xfId="0" applyNumberFormat="1" applyFont="1" applyBorder="1" applyAlignment="1">
      <alignment horizontal="center" vertical="center"/>
    </xf>
    <xf numFmtId="165" fontId="23" fillId="0" borderId="4" xfId="0" applyNumberFormat="1" applyFont="1" applyBorder="1" applyAlignment="1">
      <alignment horizontal="center" vertical="center"/>
    </xf>
    <xf numFmtId="16" fontId="22" fillId="0" borderId="4" xfId="0" quotePrefix="1" applyNumberFormat="1" applyFont="1" applyBorder="1" applyAlignment="1">
      <alignment horizontal="center" vertical="center"/>
    </xf>
    <xf numFmtId="165" fontId="22" fillId="0" borderId="4" xfId="0" applyNumberFormat="1" applyFont="1" applyBorder="1" applyAlignment="1">
      <alignment horizontal="center" vertical="center"/>
    </xf>
    <xf numFmtId="165" fontId="21" fillId="0" borderId="4" xfId="0" quotePrefix="1" applyNumberFormat="1" applyFont="1" applyBorder="1" applyAlignment="1">
      <alignment horizontal="center" vertical="center"/>
    </xf>
    <xf numFmtId="165" fontId="20" fillId="0" borderId="4" xfId="0" applyNumberFormat="1" applyFont="1" applyBorder="1" applyAlignment="1">
      <alignment horizontal="center" vertical="center"/>
    </xf>
    <xf numFmtId="165" fontId="19" fillId="0" borderId="4" xfId="0" applyNumberFormat="1" applyFont="1" applyBorder="1" applyAlignment="1">
      <alignment horizontal="center" vertical="center"/>
    </xf>
    <xf numFmtId="165" fontId="18" fillId="0" borderId="4" xfId="0" applyNumberFormat="1" applyFont="1" applyBorder="1" applyAlignment="1">
      <alignment horizontal="center" vertical="center"/>
    </xf>
    <xf numFmtId="165" fontId="17" fillId="0" borderId="4" xfId="0" applyNumberFormat="1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right" vertical="center" wrapText="1"/>
    </xf>
    <xf numFmtId="165" fontId="15" fillId="0" borderId="4" xfId="0" applyNumberFormat="1" applyFont="1" applyBorder="1" applyAlignment="1">
      <alignment horizontal="center" vertical="center"/>
    </xf>
    <xf numFmtId="165" fontId="14" fillId="0" borderId="4" xfId="0" applyNumberFormat="1" applyFont="1" applyBorder="1" applyAlignment="1">
      <alignment horizontal="center" vertical="center"/>
    </xf>
    <xf numFmtId="165" fontId="13" fillId="0" borderId="4" xfId="0" quotePrefix="1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/>
    </xf>
    <xf numFmtId="16" fontId="6" fillId="0" borderId="4" xfId="0" quotePrefix="1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165" fontId="4" fillId="0" borderId="4" xfId="0" quotePrefix="1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165" fontId="3" fillId="0" borderId="4" xfId="0" quotePrefix="1" applyNumberFormat="1" applyFont="1" applyBorder="1" applyAlignment="1">
      <alignment horizontal="center" vertical="center"/>
    </xf>
    <xf numFmtId="0" fontId="150" fillId="0" borderId="4" xfId="0" applyFont="1" applyBorder="1" applyAlignment="1">
      <alignment horizontal="center" vertical="center" wrapText="1"/>
    </xf>
    <xf numFmtId="0" fontId="151" fillId="0" borderId="4" xfId="0" applyFont="1" applyBorder="1" applyAlignment="1">
      <alignment horizontal="center" vertical="center"/>
    </xf>
    <xf numFmtId="0" fontId="151" fillId="0" borderId="4" xfId="0" applyFont="1" applyBorder="1" applyAlignment="1">
      <alignment vertical="center" wrapText="1"/>
    </xf>
    <xf numFmtId="0" fontId="151" fillId="0" borderId="4" xfId="0" applyFont="1" applyBorder="1" applyAlignment="1">
      <alignment horizontal="center" vertical="center" wrapText="1"/>
    </xf>
    <xf numFmtId="14" fontId="151" fillId="0" borderId="4" xfId="0" quotePrefix="1" applyNumberFormat="1" applyFont="1" applyBorder="1" applyAlignment="1">
      <alignment horizontal="center" vertical="center" wrapText="1"/>
    </xf>
    <xf numFmtId="3" fontId="152" fillId="0" borderId="4" xfId="0" applyNumberFormat="1" applyFont="1" applyBorder="1" applyAlignment="1">
      <alignment horizontal="right" vertical="center" wrapText="1"/>
    </xf>
    <xf numFmtId="0" fontId="151" fillId="0" borderId="5" xfId="0" applyFont="1" applyBorder="1" applyAlignment="1">
      <alignment horizontal="center" vertical="center"/>
    </xf>
    <xf numFmtId="0" fontId="151" fillId="0" borderId="5" xfId="0" applyFont="1" applyBorder="1" applyAlignment="1">
      <alignment vertical="center"/>
    </xf>
    <xf numFmtId="0" fontId="151" fillId="0" borderId="5" xfId="0" applyFont="1" applyBorder="1" applyAlignment="1">
      <alignment vertical="center" wrapText="1"/>
    </xf>
    <xf numFmtId="0" fontId="151" fillId="0" borderId="5" xfId="0" applyFont="1" applyBorder="1" applyAlignment="1">
      <alignment horizontal="center" vertical="center" wrapText="1"/>
    </xf>
    <xf numFmtId="3" fontId="150" fillId="0" borderId="4" xfId="0" applyNumberFormat="1" applyFont="1" applyBorder="1" applyAlignment="1">
      <alignment horizontal="right" vertical="center" wrapText="1"/>
    </xf>
    <xf numFmtId="0" fontId="150" fillId="0" borderId="7" xfId="0" applyFont="1" applyBorder="1" applyAlignment="1">
      <alignment horizontal="center" wrapText="1"/>
    </xf>
    <xf numFmtId="0" fontId="150" fillId="0" borderId="8" xfId="0" applyFont="1" applyBorder="1" applyAlignment="1">
      <alignment horizontal="center" wrapText="1"/>
    </xf>
    <xf numFmtId="3" fontId="150" fillId="0" borderId="6" xfId="0" applyNumberFormat="1" applyFont="1" applyBorder="1" applyAlignment="1">
      <alignment horizontal="right" wrapText="1"/>
    </xf>
    <xf numFmtId="10" fontId="144" fillId="0" borderId="4" xfId="1" applyNumberFormat="1" applyFont="1" applyBorder="1" applyAlignment="1">
      <alignment vertical="center"/>
    </xf>
    <xf numFmtId="10" fontId="144" fillId="0" borderId="4" xfId="1" applyNumberFormat="1" applyFont="1" applyFill="1" applyBorder="1" applyAlignment="1">
      <alignment vertical="center"/>
    </xf>
    <xf numFmtId="10" fontId="144" fillId="2" borderId="4" xfId="1" applyNumberFormat="1" applyFont="1" applyFill="1" applyBorder="1" applyAlignment="1">
      <alignment vertical="center"/>
    </xf>
    <xf numFmtId="1" fontId="144" fillId="0" borderId="4" xfId="0" applyNumberFormat="1" applyFont="1" applyBorder="1" applyAlignment="1">
      <alignment vertical="center"/>
    </xf>
    <xf numFmtId="167" fontId="142" fillId="0" borderId="4" xfId="0" applyNumberFormat="1" applyFont="1" applyBorder="1" applyAlignment="1">
      <alignment vertical="center"/>
    </xf>
    <xf numFmtId="0" fontId="143" fillId="0" borderId="9" xfId="0" quotePrefix="1" applyFont="1" applyBorder="1" applyAlignment="1">
      <alignment horizontal="center" vertical="center"/>
    </xf>
    <xf numFmtId="16" fontId="6" fillId="0" borderId="9" xfId="0" quotePrefix="1" applyNumberFormat="1" applyFont="1" applyBorder="1" applyAlignment="1">
      <alignment horizontal="center" vertical="center"/>
    </xf>
    <xf numFmtId="165" fontId="140" fillId="0" borderId="9" xfId="0" applyNumberFormat="1" applyFont="1" applyBorder="1" applyAlignment="1">
      <alignment horizontal="center" vertical="center"/>
    </xf>
    <xf numFmtId="165" fontId="114" fillId="0" borderId="9" xfId="0" applyNumberFormat="1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114" fillId="0" borderId="9" xfId="0" applyNumberFormat="1" applyFont="1" applyBorder="1" applyAlignment="1">
      <alignment horizontal="center" vertical="center"/>
    </xf>
    <xf numFmtId="0" fontId="144" fillId="0" borderId="9" xfId="0" applyFont="1" applyBorder="1" applyAlignment="1">
      <alignment vertical="center"/>
    </xf>
    <xf numFmtId="0" fontId="144" fillId="0" borderId="9" xfId="0" applyFont="1" applyBorder="1" applyAlignment="1">
      <alignment vertical="center" wrapText="1"/>
    </xf>
    <xf numFmtId="167" fontId="142" fillId="0" borderId="9" xfId="3" applyNumberFormat="1" applyFont="1" applyBorder="1" applyAlignment="1">
      <alignment vertical="center"/>
    </xf>
    <xf numFmtId="167" fontId="116" fillId="0" borderId="9" xfId="2" applyNumberFormat="1" applyFont="1" applyFill="1" applyBorder="1" applyAlignment="1">
      <alignment horizontal="right" vertical="center"/>
    </xf>
    <xf numFmtId="167" fontId="144" fillId="0" borderId="9" xfId="2" applyNumberFormat="1" applyFont="1" applyFill="1" applyBorder="1" applyAlignment="1">
      <alignment horizontal="right" vertical="center"/>
    </xf>
    <xf numFmtId="167" fontId="145" fillId="0" borderId="9" xfId="2" applyNumberFormat="1" applyFont="1" applyFill="1" applyBorder="1" applyAlignment="1">
      <alignment horizontal="right" vertical="center"/>
    </xf>
    <xf numFmtId="167" fontId="145" fillId="0" borderId="9" xfId="2" applyNumberFormat="1" applyFont="1" applyBorder="1" applyAlignment="1">
      <alignment horizontal="right" vertical="center"/>
    </xf>
    <xf numFmtId="0" fontId="143" fillId="0" borderId="9" xfId="0" applyFont="1" applyBorder="1" applyAlignment="1">
      <alignment vertical="center"/>
    </xf>
    <xf numFmtId="167" fontId="145" fillId="0" borderId="10" xfId="2" applyNumberFormat="1" applyFont="1" applyFill="1" applyBorder="1" applyAlignment="1">
      <alignment horizontal="right" vertical="center"/>
    </xf>
    <xf numFmtId="168" fontId="142" fillId="0" borderId="4" xfId="2" applyNumberFormat="1" applyFont="1" applyBorder="1" applyAlignment="1">
      <alignment vertical="center"/>
    </xf>
    <xf numFmtId="16" fontId="3" fillId="0" borderId="4" xfId="0" quotePrefix="1" applyNumberFormat="1" applyFont="1" applyBorder="1" applyAlignment="1">
      <alignment horizontal="center" vertical="center"/>
    </xf>
    <xf numFmtId="17" fontId="144" fillId="0" borderId="4" xfId="0" applyNumberFormat="1" applyFont="1" applyBorder="1" applyAlignment="1">
      <alignment horizontal="center" vertical="center"/>
    </xf>
    <xf numFmtId="10" fontId="144" fillId="0" borderId="0" xfId="1" applyNumberFormat="1" applyFont="1" applyAlignment="1">
      <alignment vertical="center"/>
    </xf>
    <xf numFmtId="168" fontId="0" fillId="0" borderId="0" xfId="0" applyNumberFormat="1"/>
    <xf numFmtId="165" fontId="2" fillId="0" borderId="4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4" fontId="144" fillId="0" borderId="4" xfId="0" applyNumberFormat="1" applyFont="1" applyBorder="1" applyAlignment="1">
      <alignment vertical="center"/>
    </xf>
    <xf numFmtId="43" fontId="144" fillId="0" borderId="4" xfId="0" applyNumberFormat="1" applyFont="1" applyBorder="1" applyAlignment="1">
      <alignment vertical="center"/>
    </xf>
    <xf numFmtId="4" fontId="144" fillId="0" borderId="4" xfId="0" applyNumberFormat="1" applyFont="1" applyBorder="1" applyAlignment="1">
      <alignment vertical="center"/>
    </xf>
    <xf numFmtId="165" fontId="1" fillId="0" borderId="4" xfId="0" quotePrefix="1" applyNumberFormat="1" applyFont="1" applyBorder="1" applyAlignment="1">
      <alignment horizontal="center" vertical="center"/>
    </xf>
    <xf numFmtId="16" fontId="1" fillId="0" borderId="4" xfId="0" quotePrefix="1" applyNumberFormat="1" applyFont="1" applyBorder="1" applyAlignment="1">
      <alignment horizontal="center" vertical="center"/>
    </xf>
    <xf numFmtId="10" fontId="144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44" fillId="0" borderId="4" xfId="0" quotePrefix="1" applyFont="1" applyBorder="1" applyAlignment="1">
      <alignment horizontal="center" vertical="center"/>
    </xf>
    <xf numFmtId="9" fontId="144" fillId="0" borderId="4" xfId="1" applyFont="1" applyBorder="1" applyAlignment="1">
      <alignment vertical="center"/>
    </xf>
    <xf numFmtId="168" fontId="144" fillId="0" borderId="4" xfId="2" applyNumberFormat="1" applyFont="1" applyBorder="1" applyAlignment="1">
      <alignment vertical="center"/>
    </xf>
    <xf numFmtId="169" fontId="144" fillId="0" borderId="4" xfId="1" applyNumberFormat="1" applyFont="1" applyBorder="1" applyAlignment="1">
      <alignment vertical="center"/>
    </xf>
    <xf numFmtId="167" fontId="1" fillId="0" borderId="4" xfId="2" applyNumberFormat="1" applyFont="1" applyBorder="1" applyAlignment="1">
      <alignment horizontal="right" vertical="center"/>
    </xf>
    <xf numFmtId="43" fontId="142" fillId="0" borderId="4" xfId="3" applyFont="1" applyBorder="1" applyAlignment="1">
      <alignment vertical="center"/>
    </xf>
    <xf numFmtId="168" fontId="142" fillId="0" borderId="4" xfId="0" applyNumberFormat="1" applyFont="1" applyBorder="1" applyAlignment="1">
      <alignment vertical="center"/>
    </xf>
    <xf numFmtId="165" fontId="1" fillId="0" borderId="4" xfId="0" applyNumberFormat="1" applyFont="1" applyBorder="1" applyAlignment="1">
      <alignment horizontal="right" vertical="center" wrapText="1"/>
    </xf>
    <xf numFmtId="14" fontId="144" fillId="0" borderId="4" xfId="0" applyNumberFormat="1" applyFont="1" applyBorder="1" applyAlignment="1">
      <alignment horizontal="center" vertical="center"/>
    </xf>
    <xf numFmtId="164" fontId="144" fillId="0" borderId="4" xfId="0" applyNumberFormat="1" applyFont="1" applyBorder="1" applyAlignment="1">
      <alignment vertical="center"/>
    </xf>
    <xf numFmtId="0" fontId="144" fillId="0" borderId="4" xfId="0" applyFont="1" applyBorder="1" applyAlignment="1">
      <alignment horizontal="right" vertical="center"/>
    </xf>
    <xf numFmtId="4" fontId="144" fillId="0" borderId="0" xfId="0" applyNumberFormat="1" applyFont="1" applyAlignment="1">
      <alignment horizontal="left" vertical="center"/>
    </xf>
    <xf numFmtId="0" fontId="144" fillId="0" borderId="4" xfId="0" applyFont="1" applyBorder="1" applyAlignment="1">
      <alignment horizontal="left" vertical="top" wrapText="1"/>
    </xf>
    <xf numFmtId="165" fontId="1" fillId="2" borderId="4" xfId="0" applyNumberFormat="1" applyFont="1" applyFill="1" applyBorder="1" applyAlignment="1">
      <alignment horizontal="center" vertical="center"/>
    </xf>
    <xf numFmtId="14" fontId="144" fillId="0" borderId="0" xfId="0" applyNumberFormat="1" applyFont="1" applyAlignment="1">
      <alignment horizontal="center" vertical="center"/>
    </xf>
    <xf numFmtId="168" fontId="136" fillId="0" borderId="4" xfId="2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4" fontId="144" fillId="0" borderId="4" xfId="0" applyNumberFormat="1" applyFont="1" applyBorder="1" applyAlignment="1">
      <alignment vertical="center" wrapText="1"/>
    </xf>
    <xf numFmtId="43" fontId="153" fillId="0" borderId="4" xfId="0" applyNumberFormat="1" applyFont="1" applyBorder="1" applyAlignment="1">
      <alignment vertical="center"/>
    </xf>
    <xf numFmtId="168" fontId="144" fillId="0" borderId="4" xfId="2" applyNumberFormat="1" applyFont="1" applyFill="1" applyBorder="1" applyAlignment="1">
      <alignment vertical="center"/>
    </xf>
    <xf numFmtId="168" fontId="154" fillId="0" borderId="4" xfId="2" applyNumberFormat="1" applyFont="1" applyBorder="1" applyAlignment="1">
      <alignment vertical="center"/>
    </xf>
    <xf numFmtId="0" fontId="155" fillId="2" borderId="4" xfId="0" applyFont="1" applyFill="1" applyBorder="1" applyAlignment="1">
      <alignment horizontal="center" vertical="center" wrapText="1"/>
    </xf>
    <xf numFmtId="167" fontId="155" fillId="0" borderId="4" xfId="2" applyNumberFormat="1" applyFont="1" applyFill="1" applyBorder="1" applyAlignment="1">
      <alignment horizontal="right" vertical="center"/>
    </xf>
    <xf numFmtId="167" fontId="155" fillId="2" borderId="4" xfId="2" applyNumberFormat="1" applyFont="1" applyFill="1" applyBorder="1" applyAlignment="1">
      <alignment horizontal="right" vertical="center"/>
    </xf>
    <xf numFmtId="167" fontId="155" fillId="0" borderId="9" xfId="2" applyNumberFormat="1" applyFont="1" applyFill="1" applyBorder="1" applyAlignment="1">
      <alignment horizontal="right" vertical="center"/>
    </xf>
    <xf numFmtId="168" fontId="156" fillId="0" borderId="4" xfId="2" applyNumberFormat="1" applyFont="1" applyBorder="1" applyAlignment="1">
      <alignment vertical="center"/>
    </xf>
    <xf numFmtId="0" fontId="153" fillId="0" borderId="4" xfId="0" applyFont="1" applyBorder="1" applyAlignment="1">
      <alignment vertical="center"/>
    </xf>
    <xf numFmtId="167" fontId="155" fillId="0" borderId="4" xfId="2" applyNumberFormat="1" applyFont="1" applyBorder="1" applyAlignment="1">
      <alignment horizontal="right" vertical="center"/>
    </xf>
    <xf numFmtId="0" fontId="153" fillId="0" borderId="0" xfId="0" applyFont="1" applyAlignment="1">
      <alignment vertical="center"/>
    </xf>
    <xf numFmtId="167" fontId="153" fillId="0" borderId="0" xfId="0" applyNumberFormat="1" applyFont="1" applyAlignment="1">
      <alignment vertical="center"/>
    </xf>
    <xf numFmtId="0" fontId="150" fillId="0" borderId="5" xfId="0" applyFont="1" applyBorder="1" applyAlignment="1">
      <alignment horizontal="center" wrapText="1"/>
    </xf>
  </cellXfs>
  <cellStyles count="4">
    <cellStyle name="Comma" xfId="2" builtinId="3"/>
    <cellStyle name="Comma 2" xfId="3" xr:uid="{07CA3105-C871-4F27-AE13-916FD50E651C}"/>
    <cellStyle name="Normal" xfId="0" builtinId="0"/>
    <cellStyle name="Percent" xfId="1" builtinId="5"/>
  </cellStyles>
  <dxfs count="3155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_(* #,##0_);_(* \(#,##0\);_(* &quot;-&quot;??_);_(@_)"/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511.678376851851" createdVersion="8" refreshedVersion="8" minRefreshableVersion="3" recordCount="86" xr:uid="{86F5B89F-A3F5-46FE-8DC3-FB6D3C4AA68D}">
  <cacheSource type="worksheet">
    <worksheetSource ref="H1:J86" sheet="Invoice Raised"/>
  </cacheSource>
  <cacheFields count="3">
    <cacheField name="CUSTOMER NAME" numFmtId="0">
      <sharedItems count="16">
        <s v="NOVARTIS HEALTHCARE PVT. LTD"/>
        <s v="SANDOZ PRIVATE LIMITED"/>
        <s v="KAIRA - MAHARAJA D'SIGNERS &amp; GARMENTS (INDIA) PRIVATE LIMITED"/>
        <s v="KAIRA - MAHANTH DESIGNERS PRIVATE LIMTED"/>
        <s v="MUNDRA SOLAR PV LTD"/>
        <s v="ADANI WATER LIMITED"/>
        <s v="KUTCH COPPER LTD"/>
        <s v="TATA PROJECTS LIMITED"/>
        <s v="TPL-SSGIPL JV PROJECT"/>
        <s v="MUNDRA SOLAR ENERGY LIMITED"/>
        <s v="MUNDRA SOLAR TECHNOLOGY LTD"/>
        <s v="SHREE RADHA KRISHNA TRADING CO"/>
        <s v="SHREE THIRUMALA TIRUPATI TRADING CO"/>
        <s v="SHREE SIYARAM TRADING CO"/>
        <s v="SHREE RAGHAVENDRA TRADING CO"/>
        <s v="ADANI ELECTRICITY MUMBAI LIMITED"/>
      </sharedItems>
    </cacheField>
    <cacheField name="DETAILS" numFmtId="0">
      <sharedItems longText="1"/>
    </cacheField>
    <cacheField name="BILL AMOUNT" numFmtId="167">
      <sharedItems containsSemiMixedTypes="0" containsString="0" containsNumber="1" minValue="-2000" maxValue="31429050.85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s v="Towards Professional fee for providing Recruitment Process Outsourcing for the month of April-2024_x000a_28 Recruiters @ Rs.65,500/- per person per month._x000a_2 Staffing Coordinator @ 48,500/- per person per month, 2 Sr. Staffing Coordinator @ 52,000/- per person per month and 3 Sr. Specialist Recruiter @95,001/- per month per person"/>
    <n v="2320003"/>
  </r>
  <r>
    <x v="0"/>
    <s v="a) Towards Reimbursement of Mobile Bill &amp; Wifi Charges upto Rs. 800/- Per Month Per Candidate for the Month of March-2024. "/>
    <n v="20891"/>
  </r>
  <r>
    <x v="1"/>
    <s v="Towards Professional fee for providing Recruitment Process Outsourcing Services for the month of April-2024 a) One Lead. Recruiter @ Rs.1,09,000/- &amp; One Sr. Recruitment Business Partner @ Rs 1,58,333/- per person per month."/>
    <n v="267333"/>
  </r>
  <r>
    <x v="2"/>
    <s v="Professional fee towards for Providing Allied HR, Payroll and Statutory Compliance Services for the month of March-2024"/>
    <n v="20800"/>
  </r>
  <r>
    <x v="3"/>
    <s v="Professional fee towards for Providing Allied HR, Payroll and Statutory Compliance Services for the month of March-2024"/>
    <n v="800"/>
  </r>
  <r>
    <x v="4"/>
    <s v="Invoice for the month of April-2024 towards Manpower Deployment Charges for 27 Employees  at M/s: Mundra Solar PV Ltd., @ Kasipet, Bhupalpally, Mandamarri &amp; Kothagudem"/>
    <n v="676642"/>
  </r>
  <r>
    <x v="4"/>
    <s v="Invoice for the month of April-2024 towards Manpower Deployment Charges for Mr. SUBHAJIT BERA - HR at M/s: Mundra Solar PV Ltd., @ Kothagudem"/>
    <n v="59300"/>
  </r>
  <r>
    <x v="0"/>
    <s v="Towards Professional fee for providing Recruitment Process Outsourcing for the month of May-2024_x000a_28 Recruiters @ Rs.65,500/- per person per month._x000a_2 Staffing Coordinator @ 48,500/- per person per month, 2 Sr. Staffing Coordinator @ 52,000/- per person per month and 3 Sr. Specialist Recruiter @95,001/- per month per person"/>
    <n v="2320003"/>
  </r>
  <r>
    <x v="0"/>
    <s v="a) Towards Reimbursement of Mobile Bill &amp; Wifi Charges upto Rs. 800/- Per Month Per Candidate for the Month of April-2024. "/>
    <n v="21342"/>
  </r>
  <r>
    <x v="1"/>
    <s v="Towards Professional fee for providing Recruitment Process Outsourcing Services for the month of May-2024 a) One Lead. Recruiter @ Rs.1,09,000/- &amp; One Sr. Recruitment Business Partner @ Rs 1,58,333/- per person per month."/>
    <n v="267333"/>
  </r>
  <r>
    <x v="5"/>
    <s v="Invoice for the month of April-2024 towards Manpower Deployment Charges for 1 Employees  at M/s: ADANI WATER LIMITED., @ Bhagalpur Site"/>
    <n v="34350"/>
  </r>
  <r>
    <x v="6"/>
    <s v="Invoice for the month of April-2024 towards Manpower Deployment Charges for 1_x000a_Employee’s at M/s: KUTCH COPPER LTD @ Mundra Location"/>
    <n v="69800"/>
  </r>
  <r>
    <x v="7"/>
    <s v="Invoice for the month of April-2024 towards supply of outsourced manpower for 706 Employees Posted at TPL including OT, TA, Arrears &amp; All Allowances"/>
    <n v="31429050.850000001"/>
  </r>
  <r>
    <x v="8"/>
    <s v="Invoice for the month of April-2024 towards supply of outsourced manpower for 2 Employee for SG-SSGIPL-340526-BHUBANESWAR Project."/>
    <n v="61769"/>
  </r>
  <r>
    <x v="7"/>
    <s v="Invoice towards Full &amp; Final Settlement to employees who left in the month of April-2024"/>
    <n v="868694"/>
  </r>
  <r>
    <x v="4"/>
    <s v="Invoice for the month of April-2024 towards Manpower Deployment Charges for 1429 Employees at M/s: MSPL &amp; Additional Supervisor Cost of Rs. 60,000/- &amp; Credit Note of Short Hours Recovery - Rs. 13,589/-"/>
    <n v="21612204"/>
  </r>
  <r>
    <x v="4"/>
    <s v="Towards Ex-gratia to Fixed Term Contract employees (1001 Employees) for April-2024 &amp; F&amp;F CC towards Sep-23 to Mar-24 for Rs. -5,32,544 &amp; towards Room Rent recovery for May-24 Rs. 2,61,632/-, + Mundra Club House Room Rent for April-24 Rs. 18,000/- &amp; Club House Room House Keeping Charges Rs. 3,500/-"/>
    <n v="2845410"/>
  </r>
  <r>
    <x v="4"/>
    <s v="Towards Incentive to Fixed Term Contract (541 Employees) for the month of March-2024"/>
    <n v="1059000"/>
  </r>
  <r>
    <x v="9"/>
    <s v="Invoice for the month of April-2024 towards Manpower Deployment Charges for 1219 Employees at M/s: MSEL &amp; Credit Note towards Short Hours Recovery - Rs. 18,117/ &amp; Additional Supervisor Cost of Rs. 80,000/-"/>
    <n v="19004903"/>
  </r>
  <r>
    <x v="9"/>
    <s v="Towards Exgratia to Fixed Term Contract (784 Employees) for the month of April-2024 &amp; F&amp;F CC from Sep-23 to Mar-24 for -Rs. -2,68,464/- &amp; Credit Note Towards Colony Rent Recovery - Rs.2,17,092/-"/>
    <n v="1980448"/>
  </r>
  <r>
    <x v="9"/>
    <s v="Towards Incentive to Fixed Term Contract (438 Employees) for the month of March-2024"/>
    <n v="819500"/>
  </r>
  <r>
    <x v="10"/>
    <s v="Invoice for the month of April-2024 towards Manpower Deployment Charges for 283 Employees at M/s: MSTL &amp; Credit Note towards Room Rent Recovery for April-24  - Rs. 44,471/- &amp; F&amp;F for Sep-23 &amp; Mar-24 - Rs. 84,6326/- &amp; Short Hours Recovery - Rs. 4,637/-"/>
    <n v="5605090"/>
  </r>
  <r>
    <x v="10"/>
    <s v="Towards Exgratia to Fixed Term Contract  Incentive of (185 Employees) for the month of April-2024"/>
    <n v="136364"/>
  </r>
  <r>
    <x v="10"/>
    <s v="Towards Incentive to Fixed Term Contract (118 Employees) for the month of March-2024"/>
    <n v="225500"/>
  </r>
  <r>
    <x v="10"/>
    <s v="Towards Sourcing Fee (Recruitment Charges) of Fixed Term Contract Experienced Associates for I&amp;W Plant (10 Employees) for the month of April-2024"/>
    <n v="20000"/>
  </r>
  <r>
    <x v="4"/>
    <s v="Invoice towards 13 Employees Gratuity Claim for Rs. 5,37,465"/>
    <n v="537465"/>
  </r>
  <r>
    <x v="4"/>
    <s v="Invoice for the month of April-2024 towards Manpower Deployment Charges for 7 Projects Employees posted at M/s: Mundra Solar PV Ltd"/>
    <n v="152165"/>
  </r>
  <r>
    <x v="4"/>
    <s v="Invoice for the month of April-2024 towards Travel Allowance MSPL021 Dinesh Kumar for the period of 04-04-24 to 07-04-24"/>
    <n v="2630"/>
  </r>
  <r>
    <x v="9"/>
    <s v="Invoice for the month of April-2024 towards Manpower Deployment Charges for 28 Employees at M/s: MSEL @ Techno Commercial Team Department"/>
    <n v="999429"/>
  </r>
  <r>
    <x v="4"/>
    <s v="Invoice for the month of April-2024 towards Manpower Deployment Charges for 39 Employees at M/s: MSPL @ Techno Commercial Team Department"/>
    <n v="1377114"/>
  </r>
  <r>
    <x v="2"/>
    <s v="Professional fee towards for Providing Allied HR, Payroll and Statutory Compliance Services for the month of April-2024"/>
    <n v="20200"/>
  </r>
  <r>
    <x v="3"/>
    <s v="Professional fee towards for Providing Allied HR, Payroll and Statutory Compliance Services for the month of April-2024"/>
    <n v="800"/>
  </r>
  <r>
    <x v="11"/>
    <s v="Professional fee towards for Providing Allied HR, Payroll and Statutory Compliance Services for the month of Jan-24 to April-24"/>
    <n v="12000"/>
  </r>
  <r>
    <x v="12"/>
    <s v="Professional fee towards for Providing Allied HR, Payroll and Statutory Compliance Services for the month of Jan-24 to April-24"/>
    <n v="12000"/>
  </r>
  <r>
    <x v="13"/>
    <s v="Professional fee towards for Providing Allied HR, Payroll and Statutory Compliance Services for the month of Jan-24 to April-24"/>
    <n v="11600"/>
  </r>
  <r>
    <x v="14"/>
    <s v="Professional fee towards for Providing Allied HR, Payroll and Statutory Compliance Services for the month of Jan-24 to April-24"/>
    <n v="10600"/>
  </r>
  <r>
    <x v="4"/>
    <s v="Invoice for the month of May-2024 towards Travel Allowance MSPL021 Dinesh Kumar for the period of 09-05-24 to 12-05-24"/>
    <n v="7431"/>
  </r>
  <r>
    <x v="4"/>
    <s v="Invoice for the month of May-2024 towards Travelling Charges of Mr. SUBHAJIT BERA MSPL032 for the Period of 21-04-24 to 27-04-24 &amp; 19-05-24 to 22-05-24 at M/s: Mundra Solar PV Limited @ Kothaguddam Locations"/>
    <n v="9647"/>
  </r>
  <r>
    <x v="4"/>
    <s v="Invoice for the month of May-2024 towards Manpower Deployment Charges for 27 Employees  at M/s: Mundra Solar PV Ltd., @ Kasipet, Bhupalpally, Mandamarri &amp; Kothagudem"/>
    <n v="677938"/>
  </r>
  <r>
    <x v="4"/>
    <s v="Invoice for the month of May-2024 towards Manpower Deployment Charges for Mr. SUBHAJIT BERA - HR at M/s: Mundra Solar PV Ltd., @ Kothagudem"/>
    <n v="80834"/>
  </r>
  <r>
    <x v="4"/>
    <s v="Invoice for the month of May-2024 towards Manpower Deployment Charges for 1285 Employees at M/s: MSPL &amp; Additional Supervisor Cost of Rs. 60,000/- &amp; Credit Note of Short Hours Recovery - Rs. 17,929/-"/>
    <n v="19334470"/>
  </r>
  <r>
    <x v="4"/>
    <s v="Towards Ex-gratia to Fixed Term Contract employees (600 Employees) for May-2024 &amp; F&amp;F CC towards Jan-24 to April-24 for Rs. -2,06,310 &amp; towards RRR for May-24 Rs. 1,33,399/-, + Mundra Club House Room Rent for May-24 Rs. 18,000/- &amp; Club House Room House Keeping Charges Rs. 3,500/- &amp; Lateral Hiring Recruitment Drive Charges for Surat Rs. 48,164/- on 12th May 2024, &amp; Rajasthan Drive Rs. 53,368/- Dated 22nd May 2024"/>
    <n v="1904777"/>
  </r>
  <r>
    <x v="4"/>
    <s v="Towards Incentive to Fixed Term Contract (496 Employees) for the month of April-2024"/>
    <n v="945000"/>
  </r>
  <r>
    <x v="9"/>
    <s v="Invoice for the month of May-2024 towards Manpower Deployment Charges for 1180 Employees at M/s: MSEL &amp; Credit Note towards Short Hours Recovery - Rs. 18,308/ &amp; Additional Supervisor Cost of Rs. 80,000/-"/>
    <n v="18295787"/>
  </r>
  <r>
    <x v="9"/>
    <s v="Towards Exgratia to Fixed Term Contract (477 Employees) for the month of May-2024 &amp; F&amp;F CC from Sep-23 to Mar-24 for -Rs. -1,60,653/- &amp; Credit Note Towards Colony Rent Recovery - Rs. 84,471/-"/>
    <n v="1376033"/>
  </r>
  <r>
    <x v="9"/>
    <s v="Towards Incentive to Fixed Term Contract (429 Employees) for the month of April-2024"/>
    <n v="800000"/>
  </r>
  <r>
    <x v="10"/>
    <s v="Invoice for the month of May-2024 towards Manpower Deployment Charges for 265 Employees at M/s: MSTL &amp; Credit Note towards Short Hours for May-24 Rs.9,821/- "/>
    <n v="5231150"/>
  </r>
  <r>
    <x v="10"/>
    <s v="Towards Exgratia to Fixed Term Contract  Incentive of (56 Employees) for the month of May-2024 &amp; Credit Note Towards F&amp;F for Jan-24 &amp; April-24 - Rs. 39,246/- &amp; Room Rent Recovery - Rs. 24,500/-"/>
    <n v="183022"/>
  </r>
  <r>
    <x v="10"/>
    <s v="Towards Incentive to Fixed Term Contract (124 Employees) for the month of April-2024"/>
    <n v="232000"/>
  </r>
  <r>
    <x v="4"/>
    <s v="Invoice for the month of May-2024 towards Manpower Deployment Charges for 7 Projects Employees posted at M/s: Mundra Solar PV Ltd"/>
    <n v="162848"/>
  </r>
  <r>
    <x v="0"/>
    <s v="Towards Professional fee for providing Recruitment Process Outsourcing for the month of June-2024_x000a_27 Recruiters @ Rs.65,500/- per person per month._x000a_2 Staffing Coordinator @ 48,500/- per person per month, 2 Sr. Staffing Coordinator @ 52,000/- per person per month and 3 Sr. Specialist Recruiter @95,001/- per month per person"/>
    <n v="2254503"/>
  </r>
  <r>
    <x v="0"/>
    <s v="a) Towards Reimbursement of Mobile Bill &amp; Wifi Charges upto Rs. 800/- Per Month Per Candidate for the Month of May-2024. "/>
    <n v="15576"/>
  </r>
  <r>
    <x v="1"/>
    <s v="Towards Professional fee for providing Recruitment Process Outsourcing Services for the month of June-2024 a) One Lead. Recruiter @ Rs.1,09,000/- &amp; One Sr. Recruitment Business Partner @ Rs 1,58,333/- per person per month."/>
    <n v="267333"/>
  </r>
  <r>
    <x v="9"/>
    <s v="Invoice for the month of May-2024 towards Manpower Deployment Charges for 30 Employees at M/s: MSEL @ Techno Commercial Team Department"/>
    <n v="830874"/>
  </r>
  <r>
    <x v="4"/>
    <s v="Invoice for the month of May-2024 towards Manpower Deployment Charges for 38 Employees at M/s: MSPL @ Techno Commercial Team Department"/>
    <n v="1185980"/>
  </r>
  <r>
    <x v="5"/>
    <s v="Invoice for the month of May-2024 towards Manpower Deployment Charges for 1 Employees  at M/s: ADANI WATER LIMITED., @ Bhagalpur Site"/>
    <n v="34350"/>
  </r>
  <r>
    <x v="6"/>
    <s v="Invoice for the month of May-2024 towards Manpower Deployment Charges for 5_x000a_Employee’s at M/s: KUTCH COPPER LTD @ Mundra Location"/>
    <n v="209543"/>
  </r>
  <r>
    <x v="7"/>
    <s v="Invoice for the month of May-2024 towards supply of outsourced manpower for 696 Employees Posted at TPL including OT, TA, Arrears &amp; All Allowances"/>
    <n v="30642672"/>
  </r>
  <r>
    <x v="8"/>
    <s v="Invoice for the month of May-2024 towards supply of outsourced manpower for 2 Employee for SG-SSGIPL-340526-BHUBANESWAR Project."/>
    <n v="61769"/>
  </r>
  <r>
    <x v="7"/>
    <s v="Invoice towards Full &amp; Final Settlement to employees who left in the month of May-2024"/>
    <n v="412650"/>
  </r>
  <r>
    <x v="6"/>
    <s v="Credit Note towards Invoice No : HRTS2425057"/>
    <n v="-2000"/>
  </r>
  <r>
    <x v="2"/>
    <s v="Professional fee towards for Providing Allied HR, Payroll and Statutory Compliance Services for the month of May-2024"/>
    <n v="19800"/>
  </r>
  <r>
    <x v="3"/>
    <s v="Professional fee towards for Providing Allied HR, Payroll and Statutory Compliance Services for the month of May-2024"/>
    <n v="800"/>
  </r>
  <r>
    <x v="0"/>
    <s v="a) Towards Professional fee for providing Recruitment Process Outsourcing Services for the month of June-2024 (New Joinee Ms. THAKUR ROUSHNI SINGH) 1 Recruiter @ Rs. 65,500/- per person per month"/>
    <n v="65500"/>
  </r>
  <r>
    <x v="4"/>
    <s v="Invoice for the month of June-2024 towards Manpower Deployment Charges for 27 Employees  at M/s: Mundra Solar PV Ltd., @ Kasipet, Bhupalpally, Mandamarri &amp; Kothagudem"/>
    <n v="697052"/>
  </r>
  <r>
    <x v="4"/>
    <s v="Invoice for the month of June-2024 towards Manpower Deployment Charges for 1290 Employees at M/s: MSPL &amp; Additional Supervisor Cost of Rs. 60,000/- &amp; Credit Note of Short Hours Recovery - Rs. 18,366/-"/>
    <n v="19525855"/>
  </r>
  <r>
    <x v="4"/>
    <s v="Towards Ex-gratia to Fixed Term Contract employees (284 Employees) for June-2024 &amp; F&amp;F CC towards Nov-23 to May-24 for Rs. -4,92,289 &amp; towards RRR for June-24 Rs. 1,10,024/-, + Mundra Club House Room Rent for June-24 Rs. 18,000/- &amp; Club House Room House Keeping Charges Rs. 3,500/- &amp; Medical Bill of Rs. 9,118/- of Mr. VIJAY BHAIYA MSPL6579 of Rs. 8,211/- &amp; Mr. PRINCE KUMAR THAKUR Rs. 907/-"/>
    <n v="223688"/>
  </r>
  <r>
    <x v="4"/>
    <s v="Towards Incentive to Fixed Term Contract (490 Employees) for the month of May-2024"/>
    <n v="922000"/>
  </r>
  <r>
    <x v="9"/>
    <s v="Invoice for the month of June-2024 towards Manpower Deployment Charges for 1272 Employees at M/s: MSEL &amp; Credit Note towards Short Hours Recovery - Rs. 21,607/ &amp; Additional Supervisor Cost of Rs. 80,000/-"/>
    <n v="18586147"/>
  </r>
  <r>
    <x v="9"/>
    <s v="Towards Exgratia to Fixed Term Contract (257 Employees) for the month of June-2024 &amp; F&amp;F CC from Nov-23 to May-24 for -Rs. -3,05,628/- &amp; Credit Note Towards Colony Rent Recovery - Rs. 96,492/-"/>
    <n v="231916"/>
  </r>
  <r>
    <x v="9"/>
    <s v="Towards Incentive to Fixed Term Contract (428 Employees) for the month of May-2024"/>
    <n v="808500"/>
  </r>
  <r>
    <x v="10"/>
    <s v="Invoice for the month of June-2024 towards Manpower Deployment Charges for 298 Employees at M/s: MSTL &amp; Credit Note towards Short Hours for June-24 Rs.10,625/-  &amp; F&amp;F Credit Note for the month of Nov-23 to May-24 Rs. 74,899"/>
    <n v="5234605"/>
  </r>
  <r>
    <x v="10"/>
    <s v="Towards Exgratia to Fixed Term Contract  Incentive of (18 Employees) for the month of June-2024 &amp; Credit Note Towards Room Rent Recovery - Rs. 19,500/-"/>
    <n v="33934"/>
  </r>
  <r>
    <x v="10"/>
    <s v="Towards Incentive to Fixed Term Contract (126 Employees) for the month of May-2024"/>
    <n v="239000"/>
  </r>
  <r>
    <x v="5"/>
    <s v="Invoice for the month of June-2024 towards Manpower Deployment Charges for 1 Employees  at M/s: ADANI WATER LIMITED., @ Bhagalpur Site"/>
    <n v="34350"/>
  </r>
  <r>
    <x v="15"/>
    <s v="Invoice for the month of June-2024 towards Manpower Deployment Charges for 12 Employees  at M/s: Adani Electricity Mumbai Ltd., @ Tirupati, Vijayawada &amp; Visakhapatnam"/>
    <n v="395939"/>
  </r>
  <r>
    <x v="4"/>
    <s v="Invoice towards 13 Employees Gratuity Claim for Rs. 4,90,191"/>
    <n v="490191"/>
  </r>
  <r>
    <x v="9"/>
    <s v="Invoice for the month of June-2024 towards Manpower Deployment Charges for 35 Employees at M/s: MSEL @ Techno Commercial Team Department"/>
    <n v="968989"/>
  </r>
  <r>
    <x v="4"/>
    <s v="Invoice for the month of June-2024 towards Manpower Deployment Charges for 36 Employees at M/s: MSPL @ Techno Commercial Team Department"/>
    <n v="1142035"/>
  </r>
  <r>
    <x v="0"/>
    <s v="Towards Professional fee for providing Recruitment Process Outsourcing for the month of July-2024_x000a_27 Recruiters @ Rs.65,500/- per person per month._x000a_2 Staffing Coordinator @ 48,500/- per person per month, 2 Sr. Staffing Coordinator @ 52,000/- per person per month and 3 Sr. Specialist Recruiter @95,001/- per month per person"/>
    <n v="2254503"/>
  </r>
  <r>
    <x v="0"/>
    <s v="a) Towards Reimbursement of Mobile Bill &amp; Wifi Charges upto Rs. 800/- Per Month Per Candidate for the Month of June-2024. "/>
    <n v="20715"/>
  </r>
  <r>
    <x v="6"/>
    <s v="Invoice for the month of June-2024 towards Manpower Deployment Charges for 5_x000a_Employee’s at M/s: KUTCH COPPER LTD @ Mundra Location"/>
    <n v="299000"/>
  </r>
  <r>
    <x v="4"/>
    <s v="Invoice for the month of June-2024 towards Manpower Deployment Charges for 7 Projects Employees posted at M/s: Mundra Solar PV Ltd"/>
    <n v="156773"/>
  </r>
  <r>
    <x v="7"/>
    <s v="Invoice for the month of June-2024 towards supply of outsourced manpower for 682 Employees Posted at TPL including OT, TA, Arrears &amp; All Allowances"/>
    <n v="29617275"/>
  </r>
  <r>
    <x v="8"/>
    <s v="Invoice for the month of June-2024 towards supply of outsourced manpower for 2 Employee for SG-SSGIPL-340526-BHUBANESWAR Project."/>
    <n v="60951"/>
  </r>
  <r>
    <x v="7"/>
    <s v="Invoice towards Full &amp; Final Settlement to employees who left in the month of June-2024"/>
    <n v="1325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13B85-ADA3-441C-8158-9A3704530A8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37" firstHeaderRow="1" firstDataRow="1" firstDataCol="1"/>
  <pivotFields count="3">
    <pivotField axis="axisRow" showAll="0">
      <items count="17">
        <item x="4"/>
        <item x="0"/>
        <item x="1"/>
        <item x="2"/>
        <item x="3"/>
        <item x="9"/>
        <item x="10"/>
        <item x="5"/>
        <item x="6"/>
        <item x="7"/>
        <item x="8"/>
        <item x="11"/>
        <item x="12"/>
        <item x="13"/>
        <item x="14"/>
        <item x="15"/>
        <item t="default"/>
      </items>
    </pivotField>
    <pivotField showAll="0"/>
    <pivotField dataField="1" numFmtId="167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BILL AMOUNT" fld="2" baseField="0" baseItem="0" numFmtId="168"/>
  </dataFields>
  <formats count="1">
    <format dxfId="31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I1048576"/>
  <sheetViews>
    <sheetView tabSelected="1" zoomScale="80" zoomScaleNormal="80" workbookViewId="0">
      <pane xSplit="8" ySplit="1" topLeftCell="AA243" activePane="bottomRight" state="frozen"/>
      <selection activeCell="B30" sqref="B30"/>
      <selection pane="topRight" activeCell="B30" sqref="B30"/>
      <selection pane="bottomLeft" activeCell="B30" sqref="B30"/>
      <selection pane="bottomRight" activeCell="AC262" sqref="AC262"/>
    </sheetView>
  </sheetViews>
  <sheetFormatPr defaultColWidth="9.21875" defaultRowHeight="30" customHeight="1" x14ac:dyDescent="0.3"/>
  <cols>
    <col min="1" max="1" width="5.44140625" style="12" customWidth="1"/>
    <col min="2" max="2" width="9.21875" style="12" customWidth="1"/>
    <col min="3" max="3" width="16.77734375" style="12" bestFit="1" customWidth="1"/>
    <col min="4" max="4" width="17.5546875" style="12" bestFit="1" customWidth="1"/>
    <col min="5" max="5" width="17" style="12" bestFit="1" customWidth="1"/>
    <col min="6" max="6" width="24" style="13" bestFit="1" customWidth="1"/>
    <col min="7" max="7" width="12.77734375" style="13" bestFit="1" customWidth="1"/>
    <col min="8" max="8" width="35.5546875" style="11" customWidth="1"/>
    <col min="9" max="9" width="56.44140625" style="11" customWidth="1"/>
    <col min="10" max="10" width="19.44140625" style="11" customWidth="1"/>
    <col min="11" max="11" width="17.77734375" style="11" customWidth="1"/>
    <col min="12" max="13" width="17.44140625" style="11" customWidth="1"/>
    <col min="14" max="14" width="19.21875" style="412" customWidth="1"/>
    <col min="15" max="15" width="18.5546875" style="11" customWidth="1"/>
    <col min="16" max="16" width="13.44140625" style="11" customWidth="1"/>
    <col min="17" max="17" width="23.21875" style="11" bestFit="1" customWidth="1"/>
    <col min="18" max="18" width="16.44140625" style="11" customWidth="1"/>
    <col min="19" max="19" width="12.44140625" style="11" customWidth="1"/>
    <col min="20" max="20" width="16.44140625" style="13" customWidth="1"/>
    <col min="21" max="21" width="17.44140625" style="11" customWidth="1"/>
    <col min="22" max="22" width="37.44140625" style="11" customWidth="1"/>
    <col min="23" max="23" width="14.77734375" style="11" customWidth="1"/>
    <col min="24" max="24" width="17.44140625" style="11" customWidth="1"/>
    <col min="25" max="25" width="73" style="11" customWidth="1"/>
    <col min="26" max="32" width="19.21875" style="11" customWidth="1"/>
    <col min="33" max="33" width="16.77734375" style="11" customWidth="1"/>
    <col min="34" max="34" width="15.44140625" style="11" customWidth="1"/>
    <col min="35" max="35" width="59.21875" style="11" customWidth="1"/>
    <col min="36" max="16384" width="9.21875" style="11"/>
  </cols>
  <sheetData>
    <row r="1" spans="1:35" s="2" customFormat="1" ht="30" customHeight="1" x14ac:dyDescent="0.3">
      <c r="A1" s="1" t="s">
        <v>0</v>
      </c>
      <c r="B1" s="1" t="s">
        <v>1</v>
      </c>
      <c r="C1" s="1" t="s">
        <v>2</v>
      </c>
      <c r="D1" s="1" t="s">
        <v>30</v>
      </c>
      <c r="E1" s="1" t="s">
        <v>3</v>
      </c>
      <c r="F1" s="1" t="s">
        <v>1006</v>
      </c>
      <c r="G1" s="1" t="s">
        <v>48</v>
      </c>
      <c r="H1" s="1" t="s">
        <v>4</v>
      </c>
      <c r="I1" s="1" t="s">
        <v>5</v>
      </c>
      <c r="J1" s="1" t="s">
        <v>6</v>
      </c>
      <c r="K1" s="1" t="s">
        <v>22</v>
      </c>
      <c r="L1" s="1" t="s">
        <v>21</v>
      </c>
      <c r="M1" s="1" t="s">
        <v>47</v>
      </c>
      <c r="N1" s="405" t="s">
        <v>7</v>
      </c>
      <c r="O1" s="1" t="s">
        <v>8</v>
      </c>
      <c r="P1" s="1" t="s">
        <v>9</v>
      </c>
      <c r="Q1" s="1" t="s">
        <v>10</v>
      </c>
      <c r="R1" s="1" t="s">
        <v>32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Z1" s="265" t="s">
        <v>385</v>
      </c>
      <c r="AA1" s="1" t="s">
        <v>386</v>
      </c>
      <c r="AB1" s="1" t="s">
        <v>387</v>
      </c>
      <c r="AC1" s="1" t="s">
        <v>388</v>
      </c>
      <c r="AD1" s="1" t="s">
        <v>389</v>
      </c>
      <c r="AE1" s="235" t="s">
        <v>390</v>
      </c>
      <c r="AF1" s="238" t="s">
        <v>391</v>
      </c>
      <c r="AG1" s="1" t="s">
        <v>397</v>
      </c>
      <c r="AH1" s="1" t="s">
        <v>398</v>
      </c>
      <c r="AI1" s="1" t="s">
        <v>25</v>
      </c>
    </row>
    <row r="2" spans="1:35" ht="30" hidden="1" customHeight="1" x14ac:dyDescent="0.3">
      <c r="A2" s="3">
        <v>1</v>
      </c>
      <c r="B2" s="4" t="s">
        <v>18</v>
      </c>
      <c r="C2" s="46">
        <v>45749</v>
      </c>
      <c r="D2" s="46" t="s">
        <v>33</v>
      </c>
      <c r="E2" s="269" t="s">
        <v>64</v>
      </c>
      <c r="F2" s="42" t="s">
        <v>34</v>
      </c>
      <c r="G2" s="65">
        <v>36</v>
      </c>
      <c r="H2" s="8" t="s">
        <v>55</v>
      </c>
      <c r="I2" s="24" t="s">
        <v>67</v>
      </c>
      <c r="J2" s="45">
        <f>(72050*26)+(53350*1)+(99751*6)</f>
        <v>2525156</v>
      </c>
      <c r="K2" s="43">
        <f t="shared" ref="K2:K10" si="0">ROUND(IF(G2=36,J2*9%,0),0)</f>
        <v>227264</v>
      </c>
      <c r="L2" s="40">
        <f t="shared" ref="L2:L10" si="1">ROUND(IF(G2=36,J2*9%,0),0)</f>
        <v>227264</v>
      </c>
      <c r="M2" s="40">
        <f t="shared" ref="M2:M10" si="2">ROUND(IF(G2=36,J2*0%,J2*18%),0)</f>
        <v>0</v>
      </c>
      <c r="N2" s="406">
        <f t="shared" ref="N2:N10" si="3">J2+K2+L2+M2</f>
        <v>2979684</v>
      </c>
      <c r="O2" s="21">
        <f t="shared" ref="O2:O10" si="4">N2-Q2</f>
        <v>252515.60000000009</v>
      </c>
      <c r="P2" s="9">
        <f>O2/J2</f>
        <v>0.10000000000000003</v>
      </c>
      <c r="Q2" s="23">
        <f>N2-(J2*10%)</f>
        <v>2727168.4</v>
      </c>
      <c r="R2" s="183">
        <v>45797</v>
      </c>
      <c r="S2" s="6" t="s">
        <v>74</v>
      </c>
      <c r="T2" s="10" t="s">
        <v>124</v>
      </c>
      <c r="U2" s="66">
        <f t="shared" ref="U2:U65" si="5">N2-O2-Q2</f>
        <v>0</v>
      </c>
      <c r="V2" s="8"/>
      <c r="W2" s="7" t="str">
        <f t="shared" ref="W2:W30" si="6">IF(U2=0,"No Due","Outstanding")</f>
        <v>No Due</v>
      </c>
      <c r="X2" s="27"/>
      <c r="Y2" s="25" t="s">
        <v>57</v>
      </c>
      <c r="Z2" s="266">
        <v>1954352</v>
      </c>
      <c r="AA2" s="41">
        <v>127500</v>
      </c>
      <c r="AB2" s="41">
        <v>0</v>
      </c>
      <c r="AC2" s="41">
        <v>6800</v>
      </c>
      <c r="AD2" s="41">
        <v>0</v>
      </c>
      <c r="AE2" s="236">
        <f>SUM(Z2:AD2)</f>
        <v>2088652</v>
      </c>
      <c r="AF2" s="239">
        <f t="shared" ref="AF2:AF65" si="7">J2-AE2</f>
        <v>436504</v>
      </c>
      <c r="AG2" s="237">
        <v>436504</v>
      </c>
      <c r="AH2" s="237">
        <v>0</v>
      </c>
      <c r="AI2" s="237"/>
    </row>
    <row r="3" spans="1:35" ht="30" hidden="1" customHeight="1" x14ac:dyDescent="0.3">
      <c r="A3" s="3">
        <f>A2+1</f>
        <v>2</v>
      </c>
      <c r="B3" s="4" t="s">
        <v>18</v>
      </c>
      <c r="C3" s="46">
        <v>45749</v>
      </c>
      <c r="D3" s="46" t="s">
        <v>33</v>
      </c>
      <c r="E3" s="269" t="s">
        <v>65</v>
      </c>
      <c r="F3" s="42" t="s">
        <v>34</v>
      </c>
      <c r="G3" s="65">
        <v>36</v>
      </c>
      <c r="H3" s="8" t="s">
        <v>55</v>
      </c>
      <c r="I3" s="24" t="s">
        <v>68</v>
      </c>
      <c r="J3" s="45">
        <v>17323</v>
      </c>
      <c r="K3" s="43">
        <f t="shared" si="0"/>
        <v>1559</v>
      </c>
      <c r="L3" s="40">
        <f t="shared" si="1"/>
        <v>1559</v>
      </c>
      <c r="M3" s="40">
        <f t="shared" si="2"/>
        <v>0</v>
      </c>
      <c r="N3" s="406">
        <f t="shared" si="3"/>
        <v>20441</v>
      </c>
      <c r="O3" s="21">
        <f t="shared" si="4"/>
        <v>1732.2999999999993</v>
      </c>
      <c r="P3" s="9">
        <f>O3/J3</f>
        <v>9.9999999999999964E-2</v>
      </c>
      <c r="Q3" s="23">
        <f>N3-(J3*10%)</f>
        <v>18708.7</v>
      </c>
      <c r="R3" s="183">
        <v>45797</v>
      </c>
      <c r="S3" s="6" t="s">
        <v>74</v>
      </c>
      <c r="T3" s="10" t="s">
        <v>124</v>
      </c>
      <c r="U3" s="66">
        <f t="shared" si="5"/>
        <v>0</v>
      </c>
      <c r="V3" s="8"/>
      <c r="W3" s="7" t="str">
        <f t="shared" si="6"/>
        <v>No Due</v>
      </c>
      <c r="X3" s="27"/>
      <c r="Y3" s="25" t="s">
        <v>84</v>
      </c>
      <c r="Z3" s="266">
        <v>0</v>
      </c>
      <c r="AA3" s="41">
        <v>0</v>
      </c>
      <c r="AB3" s="41">
        <v>0</v>
      </c>
      <c r="AC3" s="41">
        <v>0</v>
      </c>
      <c r="AD3" s="41">
        <v>0</v>
      </c>
      <c r="AE3" s="236">
        <f t="shared" ref="AE3:AE66" si="8">SUM(Z3:AD3)</f>
        <v>0</v>
      </c>
      <c r="AF3" s="239">
        <f t="shared" si="7"/>
        <v>17323</v>
      </c>
      <c r="AG3" s="237">
        <v>17323</v>
      </c>
      <c r="AH3" s="237">
        <v>0</v>
      </c>
      <c r="AI3" s="237"/>
    </row>
    <row r="4" spans="1:35" ht="30" hidden="1" customHeight="1" x14ac:dyDescent="0.3">
      <c r="A4" s="3">
        <f t="shared" ref="A4:A65" si="9">A3+1</f>
        <v>3</v>
      </c>
      <c r="B4" s="4" t="s">
        <v>18</v>
      </c>
      <c r="C4" s="46">
        <v>45749</v>
      </c>
      <c r="D4" s="60" t="s">
        <v>33</v>
      </c>
      <c r="E4" s="269" t="s">
        <v>66</v>
      </c>
      <c r="F4" s="60" t="s">
        <v>37</v>
      </c>
      <c r="G4" s="65">
        <v>36</v>
      </c>
      <c r="H4" s="8" t="s">
        <v>38</v>
      </c>
      <c r="I4" s="24" t="s">
        <v>69</v>
      </c>
      <c r="J4" s="45">
        <f>((109000*1)+133333+(158333*2))</f>
        <v>558999</v>
      </c>
      <c r="K4" s="43">
        <f t="shared" si="0"/>
        <v>50310</v>
      </c>
      <c r="L4" s="40">
        <f t="shared" si="1"/>
        <v>50310</v>
      </c>
      <c r="M4" s="40">
        <f t="shared" si="2"/>
        <v>0</v>
      </c>
      <c r="N4" s="406">
        <f t="shared" si="3"/>
        <v>659619</v>
      </c>
      <c r="O4" s="21">
        <f t="shared" si="4"/>
        <v>55900</v>
      </c>
      <c r="P4" s="9">
        <f t="shared" ref="P4:P19" si="10">O4/J4</f>
        <v>0.10000017889119658</v>
      </c>
      <c r="Q4" s="23">
        <v>603719</v>
      </c>
      <c r="R4" s="68">
        <v>45812</v>
      </c>
      <c r="S4" s="6" t="s">
        <v>74</v>
      </c>
      <c r="T4" s="10" t="s">
        <v>124</v>
      </c>
      <c r="U4" s="66">
        <f t="shared" si="5"/>
        <v>0</v>
      </c>
      <c r="V4" s="8"/>
      <c r="W4" s="7" t="str">
        <f t="shared" si="6"/>
        <v>No Due</v>
      </c>
      <c r="X4" s="27"/>
      <c r="Y4" s="25" t="s">
        <v>61</v>
      </c>
      <c r="Z4" s="266">
        <v>468948</v>
      </c>
      <c r="AA4" s="41">
        <v>15000</v>
      </c>
      <c r="AB4" s="41">
        <v>0</v>
      </c>
      <c r="AC4" s="41">
        <v>800</v>
      </c>
      <c r="AD4" s="41">
        <v>0</v>
      </c>
      <c r="AE4" s="236">
        <f t="shared" si="8"/>
        <v>484748</v>
      </c>
      <c r="AF4" s="239">
        <f t="shared" si="7"/>
        <v>74251</v>
      </c>
      <c r="AG4" s="237">
        <v>74251</v>
      </c>
      <c r="AH4" s="237">
        <v>0</v>
      </c>
      <c r="AI4" s="237"/>
    </row>
    <row r="5" spans="1:35" ht="30" hidden="1" customHeight="1" x14ac:dyDescent="0.3">
      <c r="A5" s="3">
        <f t="shared" si="9"/>
        <v>4</v>
      </c>
      <c r="B5" s="4" t="s">
        <v>18</v>
      </c>
      <c r="C5" s="46">
        <v>45751</v>
      </c>
      <c r="D5" s="75" t="s">
        <v>70</v>
      </c>
      <c r="E5" s="269" t="s">
        <v>83</v>
      </c>
      <c r="F5" s="75" t="s">
        <v>72</v>
      </c>
      <c r="G5" s="76">
        <v>24</v>
      </c>
      <c r="H5" s="8" t="s">
        <v>61</v>
      </c>
      <c r="I5" s="24" t="s">
        <v>85</v>
      </c>
      <c r="J5" s="45">
        <f>118935+8000</f>
        <v>126935</v>
      </c>
      <c r="K5" s="43">
        <f t="shared" si="0"/>
        <v>0</v>
      </c>
      <c r="L5" s="40">
        <f t="shared" si="1"/>
        <v>0</v>
      </c>
      <c r="M5" s="40">
        <f t="shared" si="2"/>
        <v>22848</v>
      </c>
      <c r="N5" s="406">
        <f t="shared" si="3"/>
        <v>149783</v>
      </c>
      <c r="O5" s="21">
        <f t="shared" si="4"/>
        <v>2539</v>
      </c>
      <c r="P5" s="9">
        <f t="shared" si="10"/>
        <v>2.0002363414345924E-2</v>
      </c>
      <c r="Q5" s="23">
        <f>124396+22848</f>
        <v>147244</v>
      </c>
      <c r="R5" s="232" t="s">
        <v>392</v>
      </c>
      <c r="S5" s="6" t="s">
        <v>74</v>
      </c>
      <c r="T5" s="10" t="s">
        <v>75</v>
      </c>
      <c r="U5" s="66">
        <f t="shared" si="5"/>
        <v>0</v>
      </c>
      <c r="V5" s="8" t="s">
        <v>393</v>
      </c>
      <c r="W5" s="7" t="str">
        <f t="shared" si="6"/>
        <v>No Due</v>
      </c>
      <c r="Y5" s="25" t="s">
        <v>60</v>
      </c>
      <c r="Z5" s="266">
        <v>104875</v>
      </c>
      <c r="AA5" s="41">
        <v>10260</v>
      </c>
      <c r="AB5" s="41">
        <v>0</v>
      </c>
      <c r="AC5" s="41">
        <v>400</v>
      </c>
      <c r="AD5" s="41">
        <v>0</v>
      </c>
      <c r="AE5" s="236">
        <f t="shared" si="8"/>
        <v>115535</v>
      </c>
      <c r="AF5" s="239">
        <f t="shared" si="7"/>
        <v>11400</v>
      </c>
      <c r="AG5" s="237">
        <v>3400</v>
      </c>
      <c r="AH5" s="237">
        <v>8000</v>
      </c>
      <c r="AI5" s="237"/>
    </row>
    <row r="6" spans="1:35" ht="30" hidden="1" customHeight="1" x14ac:dyDescent="0.3">
      <c r="A6" s="3">
        <f t="shared" si="9"/>
        <v>5</v>
      </c>
      <c r="B6" s="4" t="s">
        <v>18</v>
      </c>
      <c r="C6" s="46">
        <v>45757</v>
      </c>
      <c r="D6" s="75" t="s">
        <v>70</v>
      </c>
      <c r="E6" s="269" t="s">
        <v>127</v>
      </c>
      <c r="F6" s="110" t="s">
        <v>126</v>
      </c>
      <c r="G6" s="65">
        <v>24</v>
      </c>
      <c r="H6" s="8" t="s">
        <v>125</v>
      </c>
      <c r="I6" s="24" t="s">
        <v>128</v>
      </c>
      <c r="J6" s="45">
        <v>564859</v>
      </c>
      <c r="K6" s="43">
        <f t="shared" si="0"/>
        <v>0</v>
      </c>
      <c r="L6" s="40">
        <f t="shared" si="1"/>
        <v>0</v>
      </c>
      <c r="M6" s="40">
        <f t="shared" si="2"/>
        <v>101675</v>
      </c>
      <c r="N6" s="406">
        <f t="shared" si="3"/>
        <v>666534</v>
      </c>
      <c r="O6" s="21">
        <f t="shared" si="4"/>
        <v>11297.380000000005</v>
      </c>
      <c r="P6" s="9">
        <f t="shared" si="10"/>
        <v>2.0000354070661891E-2</v>
      </c>
      <c r="Q6" s="23">
        <v>655236.62</v>
      </c>
      <c r="R6" s="68">
        <v>45777</v>
      </c>
      <c r="S6" s="6" t="s">
        <v>74</v>
      </c>
      <c r="T6" s="10" t="s">
        <v>96</v>
      </c>
      <c r="U6" s="66">
        <f t="shared" si="5"/>
        <v>0</v>
      </c>
      <c r="V6" s="8"/>
      <c r="W6" s="7" t="str">
        <f t="shared" si="6"/>
        <v>No Due</v>
      </c>
      <c r="Y6" s="25" t="s">
        <v>63</v>
      </c>
      <c r="Z6" s="266">
        <v>436535</v>
      </c>
      <c r="AA6" s="41">
        <v>82774</v>
      </c>
      <c r="AB6" s="41">
        <v>0</v>
      </c>
      <c r="AC6" s="41">
        <v>2200</v>
      </c>
      <c r="AD6" s="41">
        <v>0</v>
      </c>
      <c r="AE6" s="236">
        <f t="shared" si="8"/>
        <v>521509</v>
      </c>
      <c r="AF6" s="239">
        <f t="shared" si="7"/>
        <v>43350</v>
      </c>
      <c r="AG6" s="237">
        <f>AF6</f>
        <v>43350</v>
      </c>
      <c r="AH6" s="237">
        <v>0</v>
      </c>
      <c r="AI6" s="237"/>
    </row>
    <row r="7" spans="1:35" ht="30" hidden="1" customHeight="1" x14ac:dyDescent="0.3">
      <c r="A7" s="3">
        <f>A6+1</f>
        <v>6</v>
      </c>
      <c r="B7" s="4" t="s">
        <v>18</v>
      </c>
      <c r="C7" s="123">
        <v>45763</v>
      </c>
      <c r="D7" s="123" t="s">
        <v>70</v>
      </c>
      <c r="E7" s="269" t="s">
        <v>143</v>
      </c>
      <c r="F7" s="123" t="s">
        <v>142</v>
      </c>
      <c r="G7" s="124">
        <v>24</v>
      </c>
      <c r="H7" s="8" t="s">
        <v>46</v>
      </c>
      <c r="I7" s="24" t="s">
        <v>144</v>
      </c>
      <c r="J7" s="45">
        <v>375800</v>
      </c>
      <c r="K7" s="125">
        <f>ROUND(IF(G7=36,J7*9%,0),0)</f>
        <v>0</v>
      </c>
      <c r="L7" s="40">
        <f>ROUND(IF(G7=36,J7*9%,0),0)</f>
        <v>0</v>
      </c>
      <c r="M7" s="40">
        <f>ROUND(IF(G7=36,J7*0%,J7*18%),0)</f>
        <v>67644</v>
      </c>
      <c r="N7" s="406">
        <f>J7+K7+L7+M7</f>
        <v>443444</v>
      </c>
      <c r="O7" s="21">
        <f>N7-Q7</f>
        <v>7516</v>
      </c>
      <c r="P7" s="9">
        <f>O7/J7</f>
        <v>0.02</v>
      </c>
      <c r="Q7" s="23">
        <f>N7-(J7*2%)</f>
        <v>435928</v>
      </c>
      <c r="R7" s="68">
        <v>45818</v>
      </c>
      <c r="S7" s="6" t="s">
        <v>74</v>
      </c>
      <c r="T7" s="10" t="s">
        <v>96</v>
      </c>
      <c r="U7" s="66">
        <f>N7-O7-Q7</f>
        <v>0</v>
      </c>
      <c r="V7" s="49"/>
      <c r="W7" s="7" t="str">
        <f>IF(U7=0,"No Due","Outstanding")</f>
        <v>No Due</v>
      </c>
      <c r="X7" s="26"/>
      <c r="Y7" s="25" t="s">
        <v>59</v>
      </c>
      <c r="Z7" s="266">
        <v>347000</v>
      </c>
      <c r="AA7" s="41">
        <v>22500</v>
      </c>
      <c r="AB7" s="41">
        <v>0</v>
      </c>
      <c r="AC7" s="41">
        <v>1200</v>
      </c>
      <c r="AD7" s="41">
        <v>0</v>
      </c>
      <c r="AE7" s="236">
        <f>SUM(Z7:AD7)</f>
        <v>370700</v>
      </c>
      <c r="AF7" s="239">
        <f>J7-AE7</f>
        <v>5100</v>
      </c>
      <c r="AG7" s="237">
        <v>5100</v>
      </c>
      <c r="AH7" s="237">
        <v>0</v>
      </c>
      <c r="AI7" s="237"/>
    </row>
    <row r="8" spans="1:35" ht="30" hidden="1" customHeight="1" x14ac:dyDescent="0.3">
      <c r="A8" s="3">
        <f>A7+1</f>
        <v>7</v>
      </c>
      <c r="B8" s="4" t="s">
        <v>18</v>
      </c>
      <c r="C8" s="60">
        <v>45765</v>
      </c>
      <c r="D8" s="130" t="s">
        <v>129</v>
      </c>
      <c r="E8" s="269" t="s">
        <v>148</v>
      </c>
      <c r="F8" s="130" t="s">
        <v>146</v>
      </c>
      <c r="G8" s="131">
        <v>36</v>
      </c>
      <c r="H8" s="8" t="s">
        <v>52</v>
      </c>
      <c r="I8" s="24" t="s">
        <v>150</v>
      </c>
      <c r="J8" s="45">
        <f>89*200</f>
        <v>17800</v>
      </c>
      <c r="K8" s="132">
        <f>ROUND(IF(G8=36,J8*9%,0),0)</f>
        <v>1602</v>
      </c>
      <c r="L8" s="40">
        <f>ROUND(IF(G8=36,J8*9%,0),0)</f>
        <v>1602</v>
      </c>
      <c r="M8" s="40">
        <f>ROUND(IF(G8=36,J8*0%,J8*18%),0)</f>
        <v>0</v>
      </c>
      <c r="N8" s="406">
        <f>J8+K8+L8+M8</f>
        <v>21004</v>
      </c>
      <c r="O8" s="21">
        <f>N8-Q8</f>
        <v>1780</v>
      </c>
      <c r="P8" s="9">
        <f>O8/J8</f>
        <v>0.1</v>
      </c>
      <c r="Q8" s="23">
        <v>19224</v>
      </c>
      <c r="R8" s="68">
        <v>45801</v>
      </c>
      <c r="S8" s="6" t="s">
        <v>74</v>
      </c>
      <c r="T8" s="10" t="s">
        <v>147</v>
      </c>
      <c r="U8" s="66">
        <f>N8-O8-Q8</f>
        <v>0</v>
      </c>
      <c r="V8" s="49"/>
      <c r="W8" s="7" t="str">
        <f>IF(U8=0,"No Due","Outstanding")</f>
        <v>No Due</v>
      </c>
      <c r="X8" s="26"/>
      <c r="Y8" s="25" t="s">
        <v>62</v>
      </c>
      <c r="Z8" s="266">
        <v>0</v>
      </c>
      <c r="AA8" s="41">
        <v>0</v>
      </c>
      <c r="AB8" s="41">
        <v>0</v>
      </c>
      <c r="AC8" s="41">
        <v>0</v>
      </c>
      <c r="AD8" s="41">
        <v>0</v>
      </c>
      <c r="AE8" s="236">
        <f>SUM(Z8:AD8)</f>
        <v>0</v>
      </c>
      <c r="AF8" s="239">
        <f>J8-AE8</f>
        <v>17800</v>
      </c>
      <c r="AG8" s="237">
        <f>AF8</f>
        <v>17800</v>
      </c>
      <c r="AH8" s="237">
        <v>0</v>
      </c>
      <c r="AI8" s="237"/>
    </row>
    <row r="9" spans="1:35" ht="30" hidden="1" customHeight="1" x14ac:dyDescent="0.3">
      <c r="A9" s="3">
        <f>A8+1</f>
        <v>8</v>
      </c>
      <c r="B9" s="4" t="s">
        <v>18</v>
      </c>
      <c r="C9" s="60">
        <v>45765</v>
      </c>
      <c r="D9" s="130" t="s">
        <v>129</v>
      </c>
      <c r="E9" s="269" t="s">
        <v>149</v>
      </c>
      <c r="F9" s="130" t="s">
        <v>131</v>
      </c>
      <c r="G9" s="131">
        <v>36</v>
      </c>
      <c r="H9" s="8" t="s">
        <v>51</v>
      </c>
      <c r="I9" s="24" t="s">
        <v>150</v>
      </c>
      <c r="J9" s="45">
        <f>4*200</f>
        <v>800</v>
      </c>
      <c r="K9" s="132">
        <f>ROUND(IF(G9=36,J9*9%,0),0)</f>
        <v>72</v>
      </c>
      <c r="L9" s="40">
        <f>ROUND(IF(G9=36,J9*9%,0),0)</f>
        <v>72</v>
      </c>
      <c r="M9" s="40">
        <f>ROUND(IF(G9=36,J9*0%,J9*18%),0)</f>
        <v>0</v>
      </c>
      <c r="N9" s="406">
        <f>J9+K9+L9+M9</f>
        <v>944</v>
      </c>
      <c r="O9" s="21">
        <f>N9-Q9</f>
        <v>80</v>
      </c>
      <c r="P9" s="9">
        <f>O9/J9</f>
        <v>0.1</v>
      </c>
      <c r="Q9" s="23">
        <v>864</v>
      </c>
      <c r="R9" s="5">
        <v>45796</v>
      </c>
      <c r="S9" s="6" t="s">
        <v>74</v>
      </c>
      <c r="T9" s="10" t="s">
        <v>147</v>
      </c>
      <c r="U9" s="66">
        <f>N9-O9-Q9</f>
        <v>0</v>
      </c>
      <c r="V9" s="49"/>
      <c r="W9" s="7" t="str">
        <f>IF(U9=0,"No Due","Outstanding")</f>
        <v>No Due</v>
      </c>
      <c r="X9" s="26"/>
      <c r="Y9" s="25" t="s">
        <v>39</v>
      </c>
      <c r="Z9" s="266">
        <v>0</v>
      </c>
      <c r="AA9" s="41">
        <v>0</v>
      </c>
      <c r="AB9" s="41">
        <v>0</v>
      </c>
      <c r="AC9" s="41">
        <v>0</v>
      </c>
      <c r="AD9" s="41">
        <v>0</v>
      </c>
      <c r="AE9" s="236">
        <f>SUM(Z9:AD9)</f>
        <v>0</v>
      </c>
      <c r="AF9" s="239">
        <f>J9-AE9</f>
        <v>800</v>
      </c>
      <c r="AG9" s="237">
        <f>AF9</f>
        <v>800</v>
      </c>
      <c r="AH9" s="237">
        <v>0</v>
      </c>
      <c r="AI9" s="237"/>
    </row>
    <row r="10" spans="1:35" ht="30" hidden="1" customHeight="1" x14ac:dyDescent="0.3">
      <c r="A10" s="3">
        <f>A9+1</f>
        <v>9</v>
      </c>
      <c r="B10" s="4" t="s">
        <v>18</v>
      </c>
      <c r="C10" s="60">
        <v>45765</v>
      </c>
      <c r="D10" s="46" t="s">
        <v>33</v>
      </c>
      <c r="E10" s="269" t="s">
        <v>151</v>
      </c>
      <c r="F10" s="137" t="s">
        <v>34</v>
      </c>
      <c r="G10" s="138">
        <v>36</v>
      </c>
      <c r="H10" s="8" t="s">
        <v>55</v>
      </c>
      <c r="I10" s="24" t="s">
        <v>154</v>
      </c>
      <c r="J10" s="45">
        <v>72050</v>
      </c>
      <c r="K10" s="139">
        <f>ROUND(IF(G10=36,J10*9%,0),0)</f>
        <v>6485</v>
      </c>
      <c r="L10" s="40">
        <f>ROUND(IF(G10=36,J10*9%,0),0)</f>
        <v>6485</v>
      </c>
      <c r="M10" s="40">
        <f>ROUND(IF(G10=36,J10*0%,J10*18%),0)</f>
        <v>0</v>
      </c>
      <c r="N10" s="406">
        <f>J10+K10+L10+M10</f>
        <v>85020</v>
      </c>
      <c r="O10" s="21">
        <f>N10-Q10</f>
        <v>7205</v>
      </c>
      <c r="P10" s="9">
        <f>O10/J10</f>
        <v>0.1</v>
      </c>
      <c r="Q10" s="23">
        <v>77815</v>
      </c>
      <c r="R10" s="5">
        <v>45804</v>
      </c>
      <c r="S10" s="6" t="s">
        <v>74</v>
      </c>
      <c r="T10" s="10" t="s">
        <v>124</v>
      </c>
      <c r="U10" s="66">
        <f>N10-O10-Q10</f>
        <v>0</v>
      </c>
      <c r="V10" s="49"/>
      <c r="W10" s="7" t="str">
        <f>IF(U10=0,"No Due","Outstanding")</f>
        <v>No Due</v>
      </c>
      <c r="X10" s="26"/>
      <c r="Y10" s="25" t="s">
        <v>125</v>
      </c>
      <c r="Z10" s="266">
        <v>10804</v>
      </c>
      <c r="AA10" s="41">
        <v>2463</v>
      </c>
      <c r="AB10" s="41">
        <v>0</v>
      </c>
      <c r="AC10" s="41">
        <v>0</v>
      </c>
      <c r="AD10" s="41">
        <v>0</v>
      </c>
      <c r="AE10" s="236">
        <f>SUM(Z10:AD10)</f>
        <v>13267</v>
      </c>
      <c r="AF10" s="239">
        <f>J10-AE10</f>
        <v>58783</v>
      </c>
      <c r="AG10" s="237">
        <v>58783</v>
      </c>
      <c r="AH10" s="237">
        <v>0</v>
      </c>
      <c r="AI10" s="237"/>
    </row>
    <row r="11" spans="1:35" ht="30" hidden="1" customHeight="1" x14ac:dyDescent="0.3">
      <c r="A11" s="3">
        <f>A10+1</f>
        <v>10</v>
      </c>
      <c r="B11" s="4" t="s">
        <v>18</v>
      </c>
      <c r="C11" s="60">
        <v>45772</v>
      </c>
      <c r="D11" s="144" t="s">
        <v>129</v>
      </c>
      <c r="E11" s="269" t="s">
        <v>160</v>
      </c>
      <c r="F11" s="144" t="s">
        <v>164</v>
      </c>
      <c r="G11" s="145">
        <v>36</v>
      </c>
      <c r="H11" s="8" t="s">
        <v>28</v>
      </c>
      <c r="I11" s="24" t="s">
        <v>168</v>
      </c>
      <c r="J11" s="45">
        <v>15800</v>
      </c>
      <c r="K11" s="139">
        <f>ROUND(IF(G11=36,J11*9%,0),0)</f>
        <v>1422</v>
      </c>
      <c r="L11" s="40">
        <f>ROUND(IF(G11=36,J11*9%,0),0)</f>
        <v>1422</v>
      </c>
      <c r="M11" s="40">
        <f>ROUND(IF(G11=36,J11*0%,J11*18%),0)</f>
        <v>0</v>
      </c>
      <c r="N11" s="406">
        <f>J11+K11+L11+M11</f>
        <v>18644</v>
      </c>
      <c r="O11" s="21">
        <f>N11-Q11</f>
        <v>1580</v>
      </c>
      <c r="P11" s="9">
        <f>O11/J11</f>
        <v>0.1</v>
      </c>
      <c r="Q11" s="23">
        <v>17064</v>
      </c>
      <c r="R11" s="5">
        <v>45789</v>
      </c>
      <c r="S11" s="6" t="s">
        <v>74</v>
      </c>
      <c r="T11" s="10" t="s">
        <v>251</v>
      </c>
      <c r="U11" s="66">
        <f>N11-O11-Q11</f>
        <v>0</v>
      </c>
      <c r="V11" s="49"/>
      <c r="W11" s="7" t="str">
        <f>IF(U11=0,"No Due","Outstanding")</f>
        <v>No Due</v>
      </c>
      <c r="X11" s="26"/>
      <c r="Y11" s="25" t="s">
        <v>627</v>
      </c>
      <c r="Z11" s="266">
        <v>0</v>
      </c>
      <c r="AA11" s="41">
        <v>0</v>
      </c>
      <c r="AB11" s="41">
        <v>0</v>
      </c>
      <c r="AC11" s="41">
        <v>0</v>
      </c>
      <c r="AD11" s="41">
        <v>0</v>
      </c>
      <c r="AE11" s="236">
        <f>SUM(Z11:AD11)</f>
        <v>0</v>
      </c>
      <c r="AF11" s="239">
        <f>J11-AE11</f>
        <v>15800</v>
      </c>
      <c r="AG11" s="237">
        <f>AF11</f>
        <v>15800</v>
      </c>
      <c r="AH11" s="237">
        <v>0</v>
      </c>
      <c r="AI11" s="237"/>
    </row>
    <row r="12" spans="1:35" ht="30" hidden="1" customHeight="1" x14ac:dyDescent="0.3">
      <c r="A12" s="3">
        <f>A11+1</f>
        <v>11</v>
      </c>
      <c r="B12" s="4" t="s">
        <v>18</v>
      </c>
      <c r="C12" s="60">
        <v>45772</v>
      </c>
      <c r="D12" s="144" t="s">
        <v>129</v>
      </c>
      <c r="E12" s="269" t="s">
        <v>161</v>
      </c>
      <c r="F12" s="144" t="s">
        <v>165</v>
      </c>
      <c r="G12" s="145">
        <v>36</v>
      </c>
      <c r="H12" s="8" t="s">
        <v>26</v>
      </c>
      <c r="I12" s="24" t="s">
        <v>168</v>
      </c>
      <c r="J12" s="45">
        <v>14200</v>
      </c>
      <c r="K12" s="139">
        <f>ROUND(IF(G12=36,J12*9%,0),0)</f>
        <v>1278</v>
      </c>
      <c r="L12" s="40">
        <f>ROUND(IF(G12=36,J12*9%,0),0)</f>
        <v>1278</v>
      </c>
      <c r="M12" s="40">
        <f>ROUND(IF(G12=36,J12*0%,J12*18%),0)</f>
        <v>0</v>
      </c>
      <c r="N12" s="406">
        <f>J12+K12+L12+M12</f>
        <v>16756</v>
      </c>
      <c r="O12" s="21">
        <f>N12-Q12</f>
        <v>1420</v>
      </c>
      <c r="P12" s="9">
        <f>O12/J12</f>
        <v>0.1</v>
      </c>
      <c r="Q12" s="23">
        <v>15336</v>
      </c>
      <c r="R12" s="5">
        <v>45789</v>
      </c>
      <c r="S12" s="6" t="s">
        <v>74</v>
      </c>
      <c r="T12" s="10" t="s">
        <v>251</v>
      </c>
      <c r="U12" s="66">
        <f>N12-O12-Q12</f>
        <v>0</v>
      </c>
      <c r="V12" s="49"/>
      <c r="W12" s="7" t="str">
        <f>IF(U12=0,"No Due","Outstanding")</f>
        <v>No Due</v>
      </c>
      <c r="X12" s="26"/>
      <c r="Y12" s="11" t="s">
        <v>52</v>
      </c>
      <c r="Z12" s="266">
        <v>0</v>
      </c>
      <c r="AA12" s="41">
        <v>0</v>
      </c>
      <c r="AB12" s="41">
        <v>0</v>
      </c>
      <c r="AC12" s="41">
        <v>0</v>
      </c>
      <c r="AD12" s="41">
        <v>0</v>
      </c>
      <c r="AE12" s="236">
        <f>SUM(Z12:AD12)</f>
        <v>0</v>
      </c>
      <c r="AF12" s="239">
        <f>J12-AE12</f>
        <v>14200</v>
      </c>
      <c r="AG12" s="237">
        <f>AF12</f>
        <v>14200</v>
      </c>
      <c r="AH12" s="237">
        <v>0</v>
      </c>
      <c r="AI12" s="237"/>
    </row>
    <row r="13" spans="1:35" ht="30" hidden="1" customHeight="1" x14ac:dyDescent="0.3">
      <c r="A13" s="3">
        <f>A12+1</f>
        <v>12</v>
      </c>
      <c r="B13" s="4" t="s">
        <v>18</v>
      </c>
      <c r="C13" s="60">
        <v>45772</v>
      </c>
      <c r="D13" s="144" t="s">
        <v>129</v>
      </c>
      <c r="E13" s="269" t="s">
        <v>162</v>
      </c>
      <c r="F13" s="144" t="s">
        <v>166</v>
      </c>
      <c r="G13" s="145">
        <v>36</v>
      </c>
      <c r="H13" s="8" t="s">
        <v>27</v>
      </c>
      <c r="I13" s="24" t="s">
        <v>168</v>
      </c>
      <c r="J13" s="45">
        <v>15400</v>
      </c>
      <c r="K13" s="139">
        <f>ROUND(IF(G13=36,J13*9%,0),0)</f>
        <v>1386</v>
      </c>
      <c r="L13" s="40">
        <f>ROUND(IF(G13=36,J13*9%,0),0)</f>
        <v>1386</v>
      </c>
      <c r="M13" s="40">
        <f>ROUND(IF(G13=36,J13*0%,J13*18%),0)</f>
        <v>0</v>
      </c>
      <c r="N13" s="406">
        <f>J13+K13+L13+M13</f>
        <v>18172</v>
      </c>
      <c r="O13" s="21">
        <f>N13-Q13</f>
        <v>1540</v>
      </c>
      <c r="P13" s="9">
        <f>O13/J13</f>
        <v>0.1</v>
      </c>
      <c r="Q13" s="23">
        <v>16632</v>
      </c>
      <c r="R13" s="5">
        <v>45789</v>
      </c>
      <c r="S13" s="6" t="s">
        <v>74</v>
      </c>
      <c r="T13" s="10" t="s">
        <v>251</v>
      </c>
      <c r="U13" s="66">
        <f>N13-O13-Q13</f>
        <v>0</v>
      </c>
      <c r="V13" s="49"/>
      <c r="W13" s="7" t="str">
        <f>IF(U13=0,"No Due","Outstanding")</f>
        <v>No Due</v>
      </c>
      <c r="X13" s="26"/>
      <c r="Y13" s="11" t="s">
        <v>46</v>
      </c>
      <c r="Z13" s="266">
        <v>0</v>
      </c>
      <c r="AA13" s="41">
        <v>0</v>
      </c>
      <c r="AB13" s="41">
        <v>0</v>
      </c>
      <c r="AC13" s="41">
        <v>0</v>
      </c>
      <c r="AD13" s="41">
        <v>0</v>
      </c>
      <c r="AE13" s="236">
        <f>SUM(Z13:AD13)</f>
        <v>0</v>
      </c>
      <c r="AF13" s="239">
        <f>J13-AE13</f>
        <v>15400</v>
      </c>
      <c r="AG13" s="237">
        <f>AF13</f>
        <v>15400</v>
      </c>
      <c r="AH13" s="237">
        <v>0</v>
      </c>
      <c r="AI13" s="237"/>
    </row>
    <row r="14" spans="1:35" ht="30" hidden="1" customHeight="1" x14ac:dyDescent="0.3">
      <c r="A14" s="3">
        <f>A13+1</f>
        <v>13</v>
      </c>
      <c r="B14" s="4" t="s">
        <v>18</v>
      </c>
      <c r="C14" s="60">
        <v>45772</v>
      </c>
      <c r="D14" s="144" t="s">
        <v>129</v>
      </c>
      <c r="E14" s="269" t="s">
        <v>163</v>
      </c>
      <c r="F14" s="144" t="s">
        <v>167</v>
      </c>
      <c r="G14" s="145">
        <v>36</v>
      </c>
      <c r="H14" s="8" t="s">
        <v>31</v>
      </c>
      <c r="I14" s="24" t="s">
        <v>168</v>
      </c>
      <c r="J14" s="45">
        <v>16200</v>
      </c>
      <c r="K14" s="139">
        <f>ROUND(IF(G14=36,J14*9%,0),0)</f>
        <v>1458</v>
      </c>
      <c r="L14" s="40">
        <f>ROUND(IF(G14=36,J14*9%,0),0)</f>
        <v>1458</v>
      </c>
      <c r="M14" s="40">
        <f>ROUND(IF(G14=36,J14*0%,J14*18%),0)</f>
        <v>0</v>
      </c>
      <c r="N14" s="406">
        <f>J14+K14+L14+M14</f>
        <v>19116</v>
      </c>
      <c r="O14" s="21">
        <f>N14-Q14</f>
        <v>1620</v>
      </c>
      <c r="P14" s="9">
        <f>O14/J14</f>
        <v>0.1</v>
      </c>
      <c r="Q14" s="23">
        <v>17496</v>
      </c>
      <c r="R14" s="5">
        <v>45789</v>
      </c>
      <c r="S14" s="6" t="s">
        <v>74</v>
      </c>
      <c r="T14" s="10" t="s">
        <v>251</v>
      </c>
      <c r="U14" s="66">
        <f>N14-O14-Q14</f>
        <v>0</v>
      </c>
      <c r="V14" s="49"/>
      <c r="W14" s="7" t="str">
        <f>IF(U14=0,"No Due","Outstanding")</f>
        <v>No Due</v>
      </c>
      <c r="X14" s="26"/>
      <c r="Y14" s="25" t="s">
        <v>50</v>
      </c>
      <c r="Z14" s="266">
        <v>0</v>
      </c>
      <c r="AA14" s="41">
        <v>0</v>
      </c>
      <c r="AB14" s="41">
        <v>0</v>
      </c>
      <c r="AC14" s="41">
        <v>0</v>
      </c>
      <c r="AD14" s="41">
        <v>0</v>
      </c>
      <c r="AE14" s="236">
        <f>SUM(Z14:AD14)</f>
        <v>0</v>
      </c>
      <c r="AF14" s="239">
        <f>J14-AE14</f>
        <v>16200</v>
      </c>
      <c r="AG14" s="237">
        <f>AF14</f>
        <v>16200</v>
      </c>
      <c r="AH14" s="237">
        <v>0</v>
      </c>
      <c r="AI14" s="237"/>
    </row>
    <row r="15" spans="1:35" ht="30" hidden="1" customHeight="1" x14ac:dyDescent="0.3">
      <c r="A15" s="3">
        <f>A14+1</f>
        <v>14</v>
      </c>
      <c r="B15" s="4" t="s">
        <v>18</v>
      </c>
      <c r="C15" s="60">
        <v>45772</v>
      </c>
      <c r="D15" s="146" t="s">
        <v>70</v>
      </c>
      <c r="E15" s="269" t="s">
        <v>169</v>
      </c>
      <c r="F15" s="146" t="s">
        <v>78</v>
      </c>
      <c r="G15" s="147">
        <v>36</v>
      </c>
      <c r="H15" s="8" t="s">
        <v>53</v>
      </c>
      <c r="I15" s="24" t="s">
        <v>171</v>
      </c>
      <c r="J15" s="45">
        <v>719318</v>
      </c>
      <c r="K15" s="148">
        <f>ROUND(IF(G15=36,J15*9%,0),0)</f>
        <v>64739</v>
      </c>
      <c r="L15" s="40">
        <f>ROUND(IF(G15=36,J15*9%,0),0)</f>
        <v>64739</v>
      </c>
      <c r="M15" s="40">
        <f>ROUND(IF(G15=36,J15*0%,J15*18%),0)</f>
        <v>0</v>
      </c>
      <c r="N15" s="406">
        <f>J15+K15+L15+M15</f>
        <v>848796</v>
      </c>
      <c r="O15" s="21">
        <f>N15-Q15</f>
        <v>14386.359999999986</v>
      </c>
      <c r="P15" s="9">
        <f>O15/J15</f>
        <v>1.999999999999998E-2</v>
      </c>
      <c r="Q15" s="23">
        <f>N15-(J15*2%)</f>
        <v>834409.64</v>
      </c>
      <c r="R15" s="5">
        <v>45778</v>
      </c>
      <c r="S15" s="6" t="s">
        <v>74</v>
      </c>
      <c r="T15" s="10" t="s">
        <v>96</v>
      </c>
      <c r="U15" s="66">
        <f>N15-O15-Q15</f>
        <v>0</v>
      </c>
      <c r="V15" s="49"/>
      <c r="W15" s="7" t="str">
        <f>IF(U15=0,"No Due","Outstanding")</f>
        <v>No Due</v>
      </c>
      <c r="X15" s="26"/>
      <c r="Y15" s="25" t="s">
        <v>53</v>
      </c>
      <c r="Z15" s="266">
        <v>585725</v>
      </c>
      <c r="AA15" s="41">
        <v>104643</v>
      </c>
      <c r="AB15" s="41">
        <v>0</v>
      </c>
      <c r="AC15" s="41">
        <v>5150</v>
      </c>
      <c r="AD15" s="41">
        <v>0</v>
      </c>
      <c r="AE15" s="236">
        <f>SUM(Z15:AD15)</f>
        <v>695518</v>
      </c>
      <c r="AF15" s="239">
        <f>J15-AE15</f>
        <v>23800</v>
      </c>
      <c r="AG15" s="237">
        <f>AF15</f>
        <v>23800</v>
      </c>
      <c r="AH15" s="237">
        <v>0</v>
      </c>
      <c r="AI15" s="237"/>
    </row>
    <row r="16" spans="1:35" ht="30" hidden="1" customHeight="1" x14ac:dyDescent="0.3">
      <c r="A16" s="3">
        <f>A15+1</f>
        <v>15</v>
      </c>
      <c r="B16" s="4" t="s">
        <v>18</v>
      </c>
      <c r="C16" s="60">
        <v>45772</v>
      </c>
      <c r="D16" s="146" t="s">
        <v>70</v>
      </c>
      <c r="E16" s="269" t="s">
        <v>170</v>
      </c>
      <c r="F16" s="146" t="s">
        <v>78</v>
      </c>
      <c r="G16" s="147">
        <v>36</v>
      </c>
      <c r="H16" s="8" t="s">
        <v>53</v>
      </c>
      <c r="I16" s="24" t="s">
        <v>172</v>
      </c>
      <c r="J16" s="45">
        <v>40800</v>
      </c>
      <c r="K16" s="148">
        <f>ROUND(IF(G16=36,J16*9%,0),0)</f>
        <v>3672</v>
      </c>
      <c r="L16" s="40">
        <f>ROUND(IF(G16=36,J16*9%,0),0)</f>
        <v>3672</v>
      </c>
      <c r="M16" s="40">
        <f>ROUND(IF(G16=36,J16*0%,J16*18%),0)</f>
        <v>0</v>
      </c>
      <c r="N16" s="406">
        <f>J16+K16+L16+M16</f>
        <v>48144</v>
      </c>
      <c r="O16" s="21">
        <f>N16-Q16</f>
        <v>816</v>
      </c>
      <c r="P16" s="9">
        <f>O16/J16</f>
        <v>0.02</v>
      </c>
      <c r="Q16" s="23">
        <f>N16-(J16*2%)</f>
        <v>47328</v>
      </c>
      <c r="R16" s="5">
        <v>45778</v>
      </c>
      <c r="S16" s="6" t="s">
        <v>74</v>
      </c>
      <c r="T16" s="10" t="s">
        <v>96</v>
      </c>
      <c r="U16" s="66">
        <f>N16-O16-Q16</f>
        <v>0</v>
      </c>
      <c r="V16" s="49"/>
      <c r="W16" s="7" t="str">
        <f>IF(U16=0,"No Due","Outstanding")</f>
        <v>No Due</v>
      </c>
      <c r="X16" s="26"/>
      <c r="Y16" s="25" t="s">
        <v>54</v>
      </c>
      <c r="Z16" s="266">
        <v>36000</v>
      </c>
      <c r="AA16" s="41">
        <v>3750</v>
      </c>
      <c r="AB16" s="41">
        <v>0</v>
      </c>
      <c r="AC16" s="41">
        <v>200</v>
      </c>
      <c r="AD16" s="41">
        <v>0</v>
      </c>
      <c r="AE16" s="236">
        <f>SUM(Z16:AD16)</f>
        <v>39950</v>
      </c>
      <c r="AF16" s="239">
        <f>J16-AE16</f>
        <v>850</v>
      </c>
      <c r="AG16" s="237">
        <f>AF16</f>
        <v>850</v>
      </c>
      <c r="AH16" s="237">
        <v>0</v>
      </c>
      <c r="AI16" s="237"/>
    </row>
    <row r="17" spans="1:35" ht="30" hidden="1" customHeight="1" x14ac:dyDescent="0.3">
      <c r="A17" s="3">
        <f>A16+1</f>
        <v>16</v>
      </c>
      <c r="B17" s="154" t="s">
        <v>181</v>
      </c>
      <c r="C17" s="46">
        <v>45780</v>
      </c>
      <c r="D17" s="160" t="s">
        <v>70</v>
      </c>
      <c r="E17" s="269" t="s">
        <v>207</v>
      </c>
      <c r="F17" s="160" t="s">
        <v>87</v>
      </c>
      <c r="G17" s="161">
        <v>24</v>
      </c>
      <c r="H17" s="8" t="s">
        <v>53</v>
      </c>
      <c r="I17" s="24" t="s">
        <v>205</v>
      </c>
      <c r="J17" s="162">
        <v>3375632</v>
      </c>
      <c r="K17" s="148">
        <f>ROUND(IF(G17=36,J17*9%,0),0)</f>
        <v>0</v>
      </c>
      <c r="L17" s="40">
        <f>ROUND(IF(G17=36,J17*9%,0),0)</f>
        <v>0</v>
      </c>
      <c r="M17" s="40">
        <f>ROUND(IF(G17=36,J17*0%,J17*18%),0)</f>
        <v>607614</v>
      </c>
      <c r="N17" s="406">
        <f>J17+K17+L17+M17</f>
        <v>3983246</v>
      </c>
      <c r="O17" s="21">
        <f>N17-Q17</f>
        <v>67512.64000000013</v>
      </c>
      <c r="P17" s="9">
        <f>O17/J17</f>
        <v>2.0000000000000039E-2</v>
      </c>
      <c r="Q17" s="23">
        <f>N17-(J17*2%)</f>
        <v>3915733.36</v>
      </c>
      <c r="R17" s="44">
        <v>45784</v>
      </c>
      <c r="S17" s="6" t="s">
        <v>74</v>
      </c>
      <c r="T17" s="10" t="s">
        <v>80</v>
      </c>
      <c r="U17" s="66">
        <f>N17-O17-Q17</f>
        <v>0</v>
      </c>
      <c r="V17" s="49"/>
      <c r="W17" s="7" t="str">
        <f>IF(U17=0,"No Due","Outstanding")</f>
        <v>No Due</v>
      </c>
      <c r="X17" s="26"/>
      <c r="Y17" s="25" t="s">
        <v>55</v>
      </c>
      <c r="Z17" s="266">
        <f>J17</f>
        <v>3375632</v>
      </c>
      <c r="AA17" s="41">
        <v>0</v>
      </c>
      <c r="AB17" s="41">
        <v>0</v>
      </c>
      <c r="AC17" s="41">
        <v>0</v>
      </c>
      <c r="AD17" s="41">
        <v>0</v>
      </c>
      <c r="AE17" s="236">
        <f>J17</f>
        <v>3375632</v>
      </c>
      <c r="AF17" s="239">
        <f>J17-AE17</f>
        <v>0</v>
      </c>
      <c r="AG17" s="237">
        <v>0</v>
      </c>
      <c r="AH17" s="237">
        <v>0</v>
      </c>
      <c r="AI17" s="237"/>
    </row>
    <row r="18" spans="1:35" ht="30" hidden="1" customHeight="1" x14ac:dyDescent="0.3">
      <c r="A18" s="3">
        <f>A17+1</f>
        <v>17</v>
      </c>
      <c r="B18" s="154" t="s">
        <v>181</v>
      </c>
      <c r="C18" s="46">
        <v>45780</v>
      </c>
      <c r="D18" s="160" t="s">
        <v>70</v>
      </c>
      <c r="E18" s="269" t="s">
        <v>206</v>
      </c>
      <c r="F18" s="160" t="s">
        <v>94</v>
      </c>
      <c r="G18" s="161">
        <v>24</v>
      </c>
      <c r="H18" s="8" t="s">
        <v>50</v>
      </c>
      <c r="I18" s="24" t="s">
        <v>204</v>
      </c>
      <c r="J18" s="162">
        <v>2995001</v>
      </c>
      <c r="K18" s="148">
        <f>ROUND(IF(G18=36,J18*9%,0),0)</f>
        <v>0</v>
      </c>
      <c r="L18" s="40">
        <f>ROUND(IF(G18=36,J18*9%,0),0)</f>
        <v>0</v>
      </c>
      <c r="M18" s="40">
        <f>ROUND(IF(G18=36,J18*0%,J18*18%),0)</f>
        <v>539100</v>
      </c>
      <c r="N18" s="406">
        <f>J18+K18+L18+M18</f>
        <v>3534101</v>
      </c>
      <c r="O18" s="21">
        <f>N18-Q18</f>
        <v>59900.020000000019</v>
      </c>
      <c r="P18" s="9">
        <f>O18/J18</f>
        <v>2.0000000000000007E-2</v>
      </c>
      <c r="Q18" s="23">
        <f>N18-(J18*2%)</f>
        <v>3474200.98</v>
      </c>
      <c r="R18" s="44">
        <v>45784</v>
      </c>
      <c r="S18" s="6" t="s">
        <v>74</v>
      </c>
      <c r="T18" s="10" t="s">
        <v>96</v>
      </c>
      <c r="U18" s="66">
        <f>N18-O18-Q18</f>
        <v>0</v>
      </c>
      <c r="V18" s="49"/>
      <c r="W18" s="7" t="str">
        <f>IF(U18=0,"No Due","Outstanding")</f>
        <v>No Due</v>
      </c>
      <c r="X18" s="26"/>
      <c r="Y18" s="11" t="s">
        <v>287</v>
      </c>
      <c r="Z18" s="266">
        <f>J18</f>
        <v>2995001</v>
      </c>
      <c r="AA18" s="41">
        <v>0</v>
      </c>
      <c r="AB18" s="41">
        <v>0</v>
      </c>
      <c r="AC18" s="41">
        <v>0</v>
      </c>
      <c r="AD18" s="41">
        <v>0</v>
      </c>
      <c r="AE18" s="236">
        <f>J18</f>
        <v>2995001</v>
      </c>
      <c r="AF18" s="239">
        <f>J18-AE18</f>
        <v>0</v>
      </c>
      <c r="AG18" s="237">
        <v>0</v>
      </c>
      <c r="AH18" s="237">
        <v>0</v>
      </c>
      <c r="AI18" s="237"/>
    </row>
    <row r="19" spans="1:35" ht="30" hidden="1" customHeight="1" x14ac:dyDescent="0.3">
      <c r="A19" s="3">
        <f>A18+1</f>
        <v>18</v>
      </c>
      <c r="B19" s="154" t="s">
        <v>181</v>
      </c>
      <c r="C19" s="46">
        <v>45780</v>
      </c>
      <c r="D19" s="160" t="s">
        <v>70</v>
      </c>
      <c r="E19" s="269" t="s">
        <v>208</v>
      </c>
      <c r="F19" s="160" t="s">
        <v>105</v>
      </c>
      <c r="G19" s="161">
        <v>24</v>
      </c>
      <c r="H19" s="8" t="s">
        <v>60</v>
      </c>
      <c r="I19" s="24" t="s">
        <v>203</v>
      </c>
      <c r="J19" s="162">
        <v>1207959</v>
      </c>
      <c r="K19" s="148">
        <f>ROUND(IF(G19=36,J19*9%,0),0)</f>
        <v>0</v>
      </c>
      <c r="L19" s="40">
        <f>ROUND(IF(G19=36,J19*9%,0),0)</f>
        <v>0</v>
      </c>
      <c r="M19" s="40">
        <f>ROUND(IF(G19=36,J19*0%,J19*18%),0)</f>
        <v>217433</v>
      </c>
      <c r="N19" s="406">
        <f>J19+K19+L19+M19</f>
        <v>1425392</v>
      </c>
      <c r="O19" s="21">
        <f>N19-Q19</f>
        <v>24159.179999999935</v>
      </c>
      <c r="P19" s="9">
        <f>O19/J19</f>
        <v>1.9999999999999945E-2</v>
      </c>
      <c r="Q19" s="23">
        <f>N19-(J19*2%)</f>
        <v>1401232.82</v>
      </c>
      <c r="R19" s="44">
        <v>45784</v>
      </c>
      <c r="S19" s="6" t="s">
        <v>74</v>
      </c>
      <c r="T19" s="10" t="s">
        <v>96</v>
      </c>
      <c r="U19" s="66">
        <f>N19-O19-Q19</f>
        <v>0</v>
      </c>
      <c r="V19" s="49"/>
      <c r="W19" s="7" t="str">
        <f>IF(U19=0,"No Due","Outstanding")</f>
        <v>No Due</v>
      </c>
      <c r="X19" s="26"/>
      <c r="Y19" s="11" t="s">
        <v>722</v>
      </c>
      <c r="Z19" s="266">
        <f>J19</f>
        <v>1207959</v>
      </c>
      <c r="AA19" s="41">
        <v>0</v>
      </c>
      <c r="AB19" s="41">
        <v>0</v>
      </c>
      <c r="AC19" s="41">
        <v>0</v>
      </c>
      <c r="AD19" s="41">
        <v>0</v>
      </c>
      <c r="AE19" s="236">
        <f>J19</f>
        <v>1207959</v>
      </c>
      <c r="AF19" s="239">
        <f>J19-AE19</f>
        <v>0</v>
      </c>
      <c r="AG19" s="237">
        <v>0</v>
      </c>
      <c r="AH19" s="237">
        <v>0</v>
      </c>
      <c r="AI19" s="237"/>
    </row>
    <row r="20" spans="1:35" ht="30" hidden="1" customHeight="1" x14ac:dyDescent="0.3">
      <c r="A20" s="3">
        <f>A19+1</f>
        <v>19</v>
      </c>
      <c r="B20" s="154" t="s">
        <v>181</v>
      </c>
      <c r="C20" s="46">
        <v>45778</v>
      </c>
      <c r="D20" s="160" t="s">
        <v>70</v>
      </c>
      <c r="E20" s="269" t="s">
        <v>182</v>
      </c>
      <c r="F20" s="160" t="s">
        <v>87</v>
      </c>
      <c r="G20" s="161">
        <v>24</v>
      </c>
      <c r="H20" s="8" t="s">
        <v>53</v>
      </c>
      <c r="I20" s="24" t="s">
        <v>183</v>
      </c>
      <c r="J20" s="162">
        <v>537734</v>
      </c>
      <c r="K20" s="148">
        <f>ROUND(IF(G20=36,J20*9%,0),0)</f>
        <v>0</v>
      </c>
      <c r="L20" s="40">
        <f>ROUND(IF(G20=36,J20*9%,0),0)</f>
        <v>0</v>
      </c>
      <c r="M20" s="40">
        <f>ROUND(IF(G20=36,J20*0%,J20*18%),0)</f>
        <v>96792</v>
      </c>
      <c r="N20" s="406">
        <f>J20+K20+L20+M20</f>
        <v>634526</v>
      </c>
      <c r="O20" s="21">
        <f>N20-Q20</f>
        <v>10754.680000000051</v>
      </c>
      <c r="P20" s="9">
        <f>O20/J20</f>
        <v>2.0000000000000094E-2</v>
      </c>
      <c r="Q20" s="23">
        <f>N20-(J20*2%)</f>
        <v>623771.31999999995</v>
      </c>
      <c r="R20" s="51">
        <v>45790</v>
      </c>
      <c r="S20" s="6" t="s">
        <v>74</v>
      </c>
      <c r="T20" s="10" t="s">
        <v>80</v>
      </c>
      <c r="U20" s="66">
        <f>N20-O20-Q20</f>
        <v>0</v>
      </c>
      <c r="V20" s="8"/>
      <c r="W20" s="7" t="str">
        <f>IF(U20=0,"No Due","Outstanding")</f>
        <v>No Due</v>
      </c>
      <c r="Y20" s="11" t="s">
        <v>675</v>
      </c>
      <c r="Z20" s="266">
        <v>423804</v>
      </c>
      <c r="AA20" s="41">
        <v>81930</v>
      </c>
      <c r="AB20" s="41">
        <v>0</v>
      </c>
      <c r="AC20" s="41">
        <v>1400</v>
      </c>
      <c r="AD20" s="41">
        <v>0</v>
      </c>
      <c r="AE20" s="236">
        <f>SUM(Z20:AD20)</f>
        <v>507134</v>
      </c>
      <c r="AF20" s="239">
        <f>J20-AE20</f>
        <v>30600</v>
      </c>
      <c r="AG20" s="237">
        <f>AF20</f>
        <v>30600</v>
      </c>
      <c r="AH20" s="237">
        <v>0</v>
      </c>
      <c r="AI20" s="237"/>
    </row>
    <row r="21" spans="1:35" ht="30" hidden="1" customHeight="1" x14ac:dyDescent="0.3">
      <c r="A21" s="3">
        <f>A20+1</f>
        <v>20</v>
      </c>
      <c r="B21" s="154" t="s">
        <v>181</v>
      </c>
      <c r="C21" s="46">
        <v>45778</v>
      </c>
      <c r="D21" s="75" t="s">
        <v>70</v>
      </c>
      <c r="E21" s="269" t="s">
        <v>184</v>
      </c>
      <c r="F21" s="75" t="s">
        <v>72</v>
      </c>
      <c r="G21" s="76">
        <v>24</v>
      </c>
      <c r="H21" s="8" t="s">
        <v>61</v>
      </c>
      <c r="I21" s="229" t="s">
        <v>185</v>
      </c>
      <c r="J21" s="162">
        <v>253055</v>
      </c>
      <c r="K21" s="43">
        <f>ROUND(IF(G21=36,J21*9%,0),0)</f>
        <v>0</v>
      </c>
      <c r="L21" s="40">
        <f>ROUND(IF(G21=36,J21*9%,0),0)</f>
        <v>0</v>
      </c>
      <c r="M21" s="40">
        <f>ROUND(IF(G21=36,J21*0%,J21*18%),0)</f>
        <v>45550</v>
      </c>
      <c r="N21" s="406">
        <f>J21+K21+L21+M21</f>
        <v>298605</v>
      </c>
      <c r="O21" s="21">
        <f>N21-Q21</f>
        <v>5060.9000000000233</v>
      </c>
      <c r="P21" s="9">
        <f>O21/J21</f>
        <v>1.9999209657979581E-2</v>
      </c>
      <c r="Q21" s="23">
        <f>247994.1+45550</f>
        <v>293544.09999999998</v>
      </c>
      <c r="R21" s="232" t="s">
        <v>394</v>
      </c>
      <c r="S21" s="6" t="s">
        <v>74</v>
      </c>
      <c r="T21" s="10" t="s">
        <v>75</v>
      </c>
      <c r="U21" s="66">
        <f>N21-O21-Q21</f>
        <v>0</v>
      </c>
      <c r="V21" s="8" t="s">
        <v>395</v>
      </c>
      <c r="W21" s="7" t="str">
        <f>IF(U21=0,"No Due","Outstanding")</f>
        <v>No Due</v>
      </c>
      <c r="Y21" s="11" t="s">
        <v>676</v>
      </c>
      <c r="Z21" s="266">
        <v>229055</v>
      </c>
      <c r="AA21" s="41">
        <v>18750</v>
      </c>
      <c r="AB21" s="41">
        <v>0</v>
      </c>
      <c r="AC21" s="41">
        <v>1000</v>
      </c>
      <c r="AD21" s="41">
        <v>0</v>
      </c>
      <c r="AE21" s="236">
        <f>SUM(Z21:AD21)</f>
        <v>248805</v>
      </c>
      <c r="AF21" s="239">
        <f>J21-AE21</f>
        <v>4250</v>
      </c>
      <c r="AG21" s="237">
        <f>AF21</f>
        <v>4250</v>
      </c>
      <c r="AH21" s="237">
        <v>0</v>
      </c>
      <c r="AI21" s="237"/>
    </row>
    <row r="22" spans="1:35" ht="30" hidden="1" customHeight="1" x14ac:dyDescent="0.3">
      <c r="A22" s="194">
        <f>A21+1</f>
        <v>21</v>
      </c>
      <c r="B22" s="195" t="s">
        <v>181</v>
      </c>
      <c r="C22" s="192">
        <v>45779</v>
      </c>
      <c r="D22" s="192" t="s">
        <v>70</v>
      </c>
      <c r="E22" s="269" t="s">
        <v>186</v>
      </c>
      <c r="F22" s="192" t="s">
        <v>87</v>
      </c>
      <c r="G22" s="193">
        <v>24</v>
      </c>
      <c r="H22" s="8" t="s">
        <v>53</v>
      </c>
      <c r="I22" s="24" t="s">
        <v>196</v>
      </c>
      <c r="J22" s="196">
        <v>20158745</v>
      </c>
      <c r="K22" s="197">
        <f>ROUND(IF(G22=36,J22*9%,0),0)</f>
        <v>0</v>
      </c>
      <c r="L22" s="40">
        <f>ROUND(IF(G22=36,J22*9%,0),0)</f>
        <v>0</v>
      </c>
      <c r="M22" s="40">
        <f>ROUND(IF(G22=36,J22*0%,J22*18%),0)</f>
        <v>3628574</v>
      </c>
      <c r="N22" s="406">
        <f>J22+K22+L22+M22</f>
        <v>23787319</v>
      </c>
      <c r="O22" s="21">
        <f>N22-Q22</f>
        <v>403174.89999999851</v>
      </c>
      <c r="P22" s="9">
        <f>O22/J22</f>
        <v>1.9999999999999928E-2</v>
      </c>
      <c r="Q22" s="198">
        <f>N22-(J22*2%)</f>
        <v>23384144.100000001</v>
      </c>
      <c r="R22" s="199">
        <v>45784</v>
      </c>
      <c r="S22" s="6" t="s">
        <v>74</v>
      </c>
      <c r="T22" s="10" t="s">
        <v>80</v>
      </c>
      <c r="U22" s="66">
        <f>N22-O22-Q22</f>
        <v>0</v>
      </c>
      <c r="V22" s="49"/>
      <c r="W22" s="200" t="str">
        <f>IF(U22=0,"No Due","Outstanding")</f>
        <v>No Due</v>
      </c>
      <c r="X22" s="26"/>
      <c r="Y22" s="11" t="s">
        <v>677</v>
      </c>
      <c r="Z22" s="266">
        <v>15265021</v>
      </c>
      <c r="AA22" s="41">
        <v>3195130</v>
      </c>
      <c r="AB22" s="41">
        <v>0</v>
      </c>
      <c r="AC22" s="41">
        <v>148800</v>
      </c>
      <c r="AD22" s="41">
        <f>521044+21500</f>
        <v>542544</v>
      </c>
      <c r="AE22" s="236">
        <f>SUM(Z22:AD22)</f>
        <v>19151495</v>
      </c>
      <c r="AF22" s="239">
        <f>J22-AE22</f>
        <v>1007250</v>
      </c>
      <c r="AG22" s="237">
        <f>AF22</f>
        <v>1007250</v>
      </c>
      <c r="AH22" s="237">
        <v>0</v>
      </c>
      <c r="AI22" s="237"/>
    </row>
    <row r="23" spans="1:35" ht="30" hidden="1" customHeight="1" x14ac:dyDescent="0.3">
      <c r="A23" s="194">
        <f>A22+1</f>
        <v>22</v>
      </c>
      <c r="B23" s="195" t="s">
        <v>181</v>
      </c>
      <c r="C23" s="192">
        <v>45779</v>
      </c>
      <c r="D23" s="192" t="s">
        <v>70</v>
      </c>
      <c r="E23" s="269" t="s">
        <v>180</v>
      </c>
      <c r="F23" s="192" t="s">
        <v>94</v>
      </c>
      <c r="G23" s="193">
        <v>24</v>
      </c>
      <c r="H23" s="8" t="s">
        <v>50</v>
      </c>
      <c r="I23" s="24" t="s">
        <v>193</v>
      </c>
      <c r="J23" s="162">
        <v>15718706</v>
      </c>
      <c r="K23" s="197">
        <f>ROUND(IF(G23=36,J23*9%,0),0)</f>
        <v>0</v>
      </c>
      <c r="L23" s="40">
        <f>ROUND(IF(G23=36,J23*9%,0),0)</f>
        <v>0</v>
      </c>
      <c r="M23" s="40">
        <f>ROUND(IF(G23=36,J23*0%,J23*18%),0)</f>
        <v>2829367</v>
      </c>
      <c r="N23" s="406">
        <f>J23+K23+L23+M23</f>
        <v>18548073</v>
      </c>
      <c r="O23" s="21">
        <f>N23-Q23</f>
        <v>314374.12000000104</v>
      </c>
      <c r="P23" s="9">
        <f>O23/J23</f>
        <v>2.0000000000000066E-2</v>
      </c>
      <c r="Q23" s="198">
        <f>N23-(J23*2%)</f>
        <v>18233698.879999999</v>
      </c>
      <c r="R23" s="199">
        <v>45784</v>
      </c>
      <c r="S23" s="6" t="s">
        <v>74</v>
      </c>
      <c r="T23" s="10" t="s">
        <v>96</v>
      </c>
      <c r="U23" s="66">
        <f>N23-O23-Q23</f>
        <v>0</v>
      </c>
      <c r="V23" s="49"/>
      <c r="W23" s="200" t="str">
        <f>IF(U23=0,"No Due","Outstanding")</f>
        <v>No Due</v>
      </c>
      <c r="X23" s="26"/>
      <c r="Y23" s="11" t="s">
        <v>678</v>
      </c>
      <c r="Z23" s="266">
        <v>12325134</v>
      </c>
      <c r="AA23" s="41">
        <v>2639821</v>
      </c>
      <c r="AB23" s="41">
        <v>0</v>
      </c>
      <c r="AC23" s="41">
        <v>122600</v>
      </c>
      <c r="AD23" s="41">
        <v>-280799</v>
      </c>
      <c r="AE23" s="236">
        <f>SUM(Z23:AD23)</f>
        <v>14806756</v>
      </c>
      <c r="AF23" s="239">
        <f>J23-AE23</f>
        <v>911950</v>
      </c>
      <c r="AG23" s="237">
        <f>AF23</f>
        <v>911950</v>
      </c>
      <c r="AH23" s="237">
        <v>0</v>
      </c>
      <c r="AI23" s="237"/>
    </row>
    <row r="24" spans="1:35" ht="30" hidden="1" customHeight="1" x14ac:dyDescent="0.3">
      <c r="A24" s="194">
        <f>A23+1</f>
        <v>23</v>
      </c>
      <c r="B24" s="195" t="s">
        <v>181</v>
      </c>
      <c r="C24" s="192">
        <v>45779</v>
      </c>
      <c r="D24" s="192" t="s">
        <v>70</v>
      </c>
      <c r="E24" s="269" t="s">
        <v>187</v>
      </c>
      <c r="F24" s="192" t="s">
        <v>105</v>
      </c>
      <c r="G24" s="193">
        <v>24</v>
      </c>
      <c r="H24" s="8" t="s">
        <v>60</v>
      </c>
      <c r="I24" s="24" t="s">
        <v>195</v>
      </c>
      <c r="J24" s="196">
        <v>5543752</v>
      </c>
      <c r="K24" s="197">
        <f>ROUND(IF(G24=36,J24*9%,0),0)</f>
        <v>0</v>
      </c>
      <c r="L24" s="40">
        <f>ROUND(IF(G24=36,J24*9%,0),0)</f>
        <v>0</v>
      </c>
      <c r="M24" s="40">
        <f>ROUND(IF(G24=36,J24*0%,J24*18%),0)</f>
        <v>997875</v>
      </c>
      <c r="N24" s="406">
        <f>J24+K24+L24+M24</f>
        <v>6541627</v>
      </c>
      <c r="O24" s="21">
        <f>N24-Q24</f>
        <v>110875.04000000004</v>
      </c>
      <c r="P24" s="9">
        <f>O24/J24</f>
        <v>2.0000000000000007E-2</v>
      </c>
      <c r="Q24" s="198">
        <f>N24-(J24*2%)</f>
        <v>6430751.96</v>
      </c>
      <c r="R24" s="199">
        <v>45784</v>
      </c>
      <c r="S24" s="6" t="s">
        <v>74</v>
      </c>
      <c r="T24" s="10" t="s">
        <v>96</v>
      </c>
      <c r="U24" s="66">
        <f>N24-O24-Q24</f>
        <v>0</v>
      </c>
      <c r="V24" s="49"/>
      <c r="W24" s="200" t="str">
        <f>IF(U24=0,"No Due","Outstanding")</f>
        <v>No Due</v>
      </c>
      <c r="X24" s="26"/>
      <c r="Y24" s="25" t="s">
        <v>38</v>
      </c>
      <c r="Z24" s="266">
        <v>4417291</v>
      </c>
      <c r="AA24" s="41">
        <v>926357</v>
      </c>
      <c r="AB24" s="41">
        <v>0</v>
      </c>
      <c r="AC24" s="41">
        <v>44000</v>
      </c>
      <c r="AD24" s="41">
        <v>-126698</v>
      </c>
      <c r="AE24" s="236">
        <f>SUM(Z24:AD24)</f>
        <v>5260950</v>
      </c>
      <c r="AF24" s="239">
        <f>J24-AE24</f>
        <v>282802</v>
      </c>
      <c r="AG24" s="237">
        <f>AF24</f>
        <v>282802</v>
      </c>
      <c r="AH24" s="237">
        <v>0</v>
      </c>
      <c r="AI24" s="237"/>
    </row>
    <row r="25" spans="1:35" ht="30" hidden="1" customHeight="1" x14ac:dyDescent="0.3">
      <c r="A25" s="3">
        <f>A24+1</f>
        <v>24</v>
      </c>
      <c r="B25" s="154" t="s">
        <v>181</v>
      </c>
      <c r="C25" s="46">
        <v>45784</v>
      </c>
      <c r="D25" s="160" t="s">
        <v>70</v>
      </c>
      <c r="E25" s="269" t="s">
        <v>188</v>
      </c>
      <c r="F25" s="160" t="s">
        <v>94</v>
      </c>
      <c r="G25" s="161">
        <v>24</v>
      </c>
      <c r="H25" s="8" t="s">
        <v>50</v>
      </c>
      <c r="I25" s="24" t="s">
        <v>194</v>
      </c>
      <c r="J25" s="162">
        <v>604147</v>
      </c>
      <c r="K25" s="148">
        <f>ROUND(IF(G25=36,J25*9%,0),0)</f>
        <v>0</v>
      </c>
      <c r="L25" s="40">
        <f>ROUND(IF(G25=36,J25*9%,0),0)</f>
        <v>0</v>
      </c>
      <c r="M25" s="40">
        <f>ROUND(IF(G25=36,J25*0%,J25*18%),0)</f>
        <v>108746</v>
      </c>
      <c r="N25" s="406">
        <f>J25+K25+L25+M25</f>
        <v>712893</v>
      </c>
      <c r="O25" s="21">
        <f>J25*2%</f>
        <v>12082.94</v>
      </c>
      <c r="P25" s="9">
        <f>O25/J25</f>
        <v>0.02</v>
      </c>
      <c r="Q25" s="23">
        <f>N25-O25-M25+108746</f>
        <v>700810.06</v>
      </c>
      <c r="R25" s="5">
        <v>45814</v>
      </c>
      <c r="S25" s="6" t="s">
        <v>74</v>
      </c>
      <c r="T25" s="10" t="s">
        <v>96</v>
      </c>
      <c r="U25" s="66">
        <f>N25-O25-Q25</f>
        <v>0</v>
      </c>
      <c r="V25" s="8" t="s">
        <v>323</v>
      </c>
      <c r="W25" s="7" t="str">
        <f>IF(U25=0,"No Due","Outstanding")</f>
        <v>No Due</v>
      </c>
      <c r="X25" s="26"/>
      <c r="Y25" s="25" t="s">
        <v>28</v>
      </c>
      <c r="Z25" s="266">
        <v>466974</v>
      </c>
      <c r="AA25" s="41">
        <v>105673</v>
      </c>
      <c r="AB25" s="41">
        <v>0</v>
      </c>
      <c r="AC25" s="41">
        <v>6000</v>
      </c>
      <c r="AD25" s="41">
        <v>0</v>
      </c>
      <c r="AE25" s="236">
        <f>SUM(Z25:AD25)</f>
        <v>578647</v>
      </c>
      <c r="AF25" s="239">
        <f>J25-AE25</f>
        <v>25500</v>
      </c>
      <c r="AG25" s="237">
        <f>AF25</f>
        <v>25500</v>
      </c>
      <c r="AH25" s="237">
        <v>0</v>
      </c>
      <c r="AI25" s="237"/>
    </row>
    <row r="26" spans="1:35" ht="30" hidden="1" customHeight="1" x14ac:dyDescent="0.3">
      <c r="A26" s="3">
        <f>A25+1</f>
        <v>25</v>
      </c>
      <c r="B26" s="154" t="s">
        <v>181</v>
      </c>
      <c r="C26" s="46">
        <v>45784</v>
      </c>
      <c r="D26" s="160" t="s">
        <v>70</v>
      </c>
      <c r="E26" s="269" t="s">
        <v>197</v>
      </c>
      <c r="F26" s="160" t="s">
        <v>94</v>
      </c>
      <c r="G26" s="161">
        <v>24</v>
      </c>
      <c r="H26" s="8" t="s">
        <v>50</v>
      </c>
      <c r="I26" s="24" t="s">
        <v>200</v>
      </c>
      <c r="J26" s="162">
        <v>802540</v>
      </c>
      <c r="K26" s="148">
        <f>ROUND(IF(G26=36,J26*9%,0),0)</f>
        <v>0</v>
      </c>
      <c r="L26" s="40">
        <f>ROUND(IF(G26=36,J26*9%,0),0)</f>
        <v>0</v>
      </c>
      <c r="M26" s="40">
        <f>ROUND(IF(G26=36,J26*0%,J26*18%),0)</f>
        <v>144457</v>
      </c>
      <c r="N26" s="406">
        <f>J26+K26+L26+M26</f>
        <v>946997</v>
      </c>
      <c r="O26" s="21">
        <f>N26-Q26</f>
        <v>16050.800000000047</v>
      </c>
      <c r="P26" s="9">
        <f>O26/J26</f>
        <v>2.0000000000000059E-2</v>
      </c>
      <c r="Q26" s="23">
        <f>930946.2</f>
        <v>930946.2</v>
      </c>
      <c r="R26" s="44">
        <v>45796</v>
      </c>
      <c r="S26" s="6" t="s">
        <v>74</v>
      </c>
      <c r="T26" s="10" t="s">
        <v>96</v>
      </c>
      <c r="U26" s="66">
        <f>N26-O26-Q26</f>
        <v>0</v>
      </c>
      <c r="V26" s="8"/>
      <c r="W26" s="7" t="str">
        <f>IF(U26=0,"No Due","Outstanding")</f>
        <v>No Due</v>
      </c>
      <c r="X26" s="26"/>
      <c r="Y26" s="25" t="s">
        <v>31</v>
      </c>
      <c r="Z26" s="266">
        <v>677725</v>
      </c>
      <c r="AA26" s="41">
        <v>96665</v>
      </c>
      <c r="AB26" s="41">
        <v>0</v>
      </c>
      <c r="AC26" s="41">
        <v>5200</v>
      </c>
      <c r="AD26" s="41">
        <v>0</v>
      </c>
      <c r="AE26" s="236">
        <f>SUM(Z26:AD26)</f>
        <v>779590</v>
      </c>
      <c r="AF26" s="239">
        <f>J26-AE26</f>
        <v>22950</v>
      </c>
      <c r="AG26" s="237">
        <f>AF26</f>
        <v>22950</v>
      </c>
      <c r="AH26" s="237">
        <v>0</v>
      </c>
      <c r="AI26" s="237"/>
    </row>
    <row r="27" spans="1:35" ht="30" hidden="1" customHeight="1" x14ac:dyDescent="0.3">
      <c r="A27" s="3">
        <f>A26+1</f>
        <v>26</v>
      </c>
      <c r="B27" s="154" t="s">
        <v>181</v>
      </c>
      <c r="C27" s="46">
        <v>45784</v>
      </c>
      <c r="D27" s="160" t="s">
        <v>70</v>
      </c>
      <c r="E27" s="269" t="s">
        <v>198</v>
      </c>
      <c r="F27" s="160" t="s">
        <v>87</v>
      </c>
      <c r="G27" s="161">
        <v>24</v>
      </c>
      <c r="H27" s="8" t="s">
        <v>53</v>
      </c>
      <c r="I27" s="24" t="s">
        <v>201</v>
      </c>
      <c r="J27" s="162">
        <v>1336930</v>
      </c>
      <c r="K27" s="148">
        <f>ROUND(IF(G27=36,J27*9%,0),0)</f>
        <v>0</v>
      </c>
      <c r="L27" s="40">
        <f>ROUND(IF(G27=36,J27*9%,0),0)</f>
        <v>0</v>
      </c>
      <c r="M27" s="40">
        <f>ROUND(IF(G27=36,J27*0%,J27*18%),0)</f>
        <v>240647</v>
      </c>
      <c r="N27" s="406">
        <f>J27+K27+L27+M27</f>
        <v>1577577</v>
      </c>
      <c r="O27" s="21">
        <f>J27*2%</f>
        <v>26738.600000000002</v>
      </c>
      <c r="P27" s="9">
        <f>O27/J27</f>
        <v>0.02</v>
      </c>
      <c r="Q27" s="23">
        <f>1310189.45+240649</f>
        <v>1550838.45</v>
      </c>
      <c r="R27" s="209" t="s">
        <v>325</v>
      </c>
      <c r="S27" s="6" t="s">
        <v>74</v>
      </c>
      <c r="T27" s="10" t="s">
        <v>80</v>
      </c>
      <c r="U27" s="66">
        <f>N27-O27-Q27</f>
        <v>-5.0000000046566129E-2</v>
      </c>
      <c r="V27" s="8" t="s">
        <v>476</v>
      </c>
      <c r="W27" s="383" t="s">
        <v>811</v>
      </c>
      <c r="X27" s="26"/>
      <c r="Y27" s="25" t="s">
        <v>27</v>
      </c>
      <c r="Z27" s="266">
        <v>1143511</v>
      </c>
      <c r="AA27" s="41">
        <v>150369</v>
      </c>
      <c r="AB27" s="41">
        <v>0</v>
      </c>
      <c r="AC27" s="41">
        <v>8200</v>
      </c>
      <c r="AD27" s="41">
        <v>0</v>
      </c>
      <c r="AE27" s="236">
        <f>SUM(Z27:AD27)</f>
        <v>1302080</v>
      </c>
      <c r="AF27" s="239">
        <f>J27-AE27</f>
        <v>34850</v>
      </c>
      <c r="AG27" s="237">
        <f>AF27</f>
        <v>34850</v>
      </c>
      <c r="AH27" s="237">
        <v>0</v>
      </c>
      <c r="AI27" s="237"/>
    </row>
    <row r="28" spans="1:35" ht="30" hidden="1" customHeight="1" x14ac:dyDescent="0.3">
      <c r="A28" s="3">
        <f>A27+1</f>
        <v>27</v>
      </c>
      <c r="B28" s="154" t="s">
        <v>181</v>
      </c>
      <c r="C28" s="46">
        <v>45780</v>
      </c>
      <c r="D28" s="75" t="s">
        <v>70</v>
      </c>
      <c r="E28" s="269" t="s">
        <v>199</v>
      </c>
      <c r="F28" s="75" t="s">
        <v>87</v>
      </c>
      <c r="G28" s="76">
        <v>24</v>
      </c>
      <c r="H28" s="8" t="s">
        <v>53</v>
      </c>
      <c r="I28" s="24" t="s">
        <v>202</v>
      </c>
      <c r="J28" s="162">
        <v>182133</v>
      </c>
      <c r="K28" s="43">
        <f>ROUND(IF(G28=36,J28*9%,0),0)</f>
        <v>0</v>
      </c>
      <c r="L28" s="40">
        <f>ROUND(IF(G28=36,J28*9%,0),0)</f>
        <v>0</v>
      </c>
      <c r="M28" s="40">
        <f>ROUND(IF(G28=36,J28*0%,J28*18%),0)</f>
        <v>32784</v>
      </c>
      <c r="N28" s="406">
        <f>J28+K28+L28+M28</f>
        <v>214917</v>
      </c>
      <c r="O28" s="21">
        <f>N28-Q28</f>
        <v>3642.6600000000035</v>
      </c>
      <c r="P28" s="9">
        <f>O28/J28</f>
        <v>2.0000000000000018E-2</v>
      </c>
      <c r="Q28" s="23">
        <f>N28-(J28*2%)</f>
        <v>211274.34</v>
      </c>
      <c r="R28" s="51">
        <v>45790</v>
      </c>
      <c r="S28" s="6" t="s">
        <v>74</v>
      </c>
      <c r="T28" s="10" t="s">
        <v>80</v>
      </c>
      <c r="U28" s="66">
        <f>N28-O28-Q28</f>
        <v>0</v>
      </c>
      <c r="V28" s="8"/>
      <c r="W28" s="7" t="str">
        <f>IF(U28=0,"No Due","Outstanding")</f>
        <v>No Due</v>
      </c>
      <c r="Y28" s="25" t="s">
        <v>26</v>
      </c>
      <c r="Z28" s="266">
        <v>149909</v>
      </c>
      <c r="AA28" s="41">
        <v>24874</v>
      </c>
      <c r="AB28" s="41">
        <v>0</v>
      </c>
      <c r="AC28" s="41">
        <v>1400</v>
      </c>
      <c r="AD28" s="41">
        <v>0</v>
      </c>
      <c r="AE28" s="236">
        <f>SUM(Z28:AD28)</f>
        <v>176183</v>
      </c>
      <c r="AF28" s="239">
        <f>J28-AE28</f>
        <v>5950</v>
      </c>
      <c r="AG28" s="237">
        <f>AF28</f>
        <v>5950</v>
      </c>
      <c r="AH28" s="237">
        <v>0</v>
      </c>
      <c r="AI28" s="237"/>
    </row>
    <row r="29" spans="1:35" ht="30" hidden="1" customHeight="1" x14ac:dyDescent="0.3">
      <c r="A29" s="3">
        <f>A28+1</f>
        <v>28</v>
      </c>
      <c r="B29" s="154" t="s">
        <v>181</v>
      </c>
      <c r="C29" s="46">
        <v>45782</v>
      </c>
      <c r="D29" s="46" t="s">
        <v>33</v>
      </c>
      <c r="E29" s="269" t="s">
        <v>209</v>
      </c>
      <c r="F29" s="42" t="s">
        <v>34</v>
      </c>
      <c r="G29" s="65">
        <v>36</v>
      </c>
      <c r="H29" s="8" t="s">
        <v>55</v>
      </c>
      <c r="I29" s="24" t="s">
        <v>212</v>
      </c>
      <c r="J29" s="45">
        <f>(72050*28)+(53350*1)+(99751*6)</f>
        <v>2669256</v>
      </c>
      <c r="K29" s="43">
        <f>ROUND(IF(G29=36,J29*9%,0),0)</f>
        <v>240233</v>
      </c>
      <c r="L29" s="40">
        <f>ROUND(IF(G29=36,J29*9%,0),0)</f>
        <v>240233</v>
      </c>
      <c r="M29" s="40">
        <f>ROUND(IF(G29=36,J29*0%,J29*18%),0)</f>
        <v>0</v>
      </c>
      <c r="N29" s="406">
        <f>J29+K29+L29+M29</f>
        <v>3149722</v>
      </c>
      <c r="O29" s="21">
        <f>N29-Q29</f>
        <v>266925.60000000009</v>
      </c>
      <c r="P29" s="9">
        <f>O29/J29</f>
        <v>0.10000000000000003</v>
      </c>
      <c r="Q29" s="23">
        <f>N29-(J29*10%)</f>
        <v>2882796.4</v>
      </c>
      <c r="R29" s="5">
        <v>45814</v>
      </c>
      <c r="S29" s="6" t="s">
        <v>74</v>
      </c>
      <c r="T29" s="10" t="s">
        <v>124</v>
      </c>
      <c r="U29" s="66">
        <f>N29-O29-Q29</f>
        <v>0</v>
      </c>
      <c r="V29" s="8"/>
      <c r="W29" s="7" t="str">
        <f>IF(U29=0,"No Due","Outstanding")</f>
        <v>No Due</v>
      </c>
      <c r="Y29" s="25" t="s">
        <v>49</v>
      </c>
      <c r="Z29" s="266">
        <v>1942801</v>
      </c>
      <c r="AA29" s="41">
        <v>127500</v>
      </c>
      <c r="AB29" s="41">
        <v>0</v>
      </c>
      <c r="AC29" s="41">
        <v>6800</v>
      </c>
      <c r="AD29" s="41">
        <v>0</v>
      </c>
      <c r="AE29" s="236">
        <f>SUM(Z29:AD29)</f>
        <v>2077101</v>
      </c>
      <c r="AF29" s="239">
        <f>J29-AE29</f>
        <v>592155</v>
      </c>
      <c r="AG29" s="237">
        <v>592155</v>
      </c>
      <c r="AH29" s="237">
        <v>0</v>
      </c>
      <c r="AI29" s="237"/>
    </row>
    <row r="30" spans="1:35" ht="30" hidden="1" customHeight="1" x14ac:dyDescent="0.3">
      <c r="A30" s="3">
        <f>A29+1</f>
        <v>29</v>
      </c>
      <c r="B30" s="154" t="s">
        <v>181</v>
      </c>
      <c r="C30" s="46">
        <v>45782</v>
      </c>
      <c r="D30" s="46" t="s">
        <v>33</v>
      </c>
      <c r="E30" s="269" t="s">
        <v>210</v>
      </c>
      <c r="F30" s="42" t="s">
        <v>34</v>
      </c>
      <c r="G30" s="65">
        <v>36</v>
      </c>
      <c r="H30" s="8" t="s">
        <v>55</v>
      </c>
      <c r="I30" s="24" t="s">
        <v>211</v>
      </c>
      <c r="J30" s="45">
        <v>20545</v>
      </c>
      <c r="K30" s="43">
        <f>ROUND(IF(G30=36,J30*9%,0),0)</f>
        <v>1849</v>
      </c>
      <c r="L30" s="40">
        <f>ROUND(IF(G30=36,J30*9%,0),0)</f>
        <v>1849</v>
      </c>
      <c r="M30" s="40">
        <f>ROUND(IF(G30=36,J30*0%,J30*18%),0)</f>
        <v>0</v>
      </c>
      <c r="N30" s="406">
        <f>J30+K30+L30+M30</f>
        <v>24243</v>
      </c>
      <c r="O30" s="21">
        <f>N30-Q30</f>
        <v>2054.5</v>
      </c>
      <c r="P30" s="9">
        <f>O30/J30</f>
        <v>0.1</v>
      </c>
      <c r="Q30" s="23">
        <f>N30-(J30*10%)</f>
        <v>22188.5</v>
      </c>
      <c r="R30" s="5">
        <v>45814</v>
      </c>
      <c r="S30" s="6" t="s">
        <v>74</v>
      </c>
      <c r="T30" s="10" t="s">
        <v>124</v>
      </c>
      <c r="U30" s="66">
        <f>N30-O30-Q30</f>
        <v>0</v>
      </c>
      <c r="V30" s="8"/>
      <c r="W30" s="7" t="str">
        <f>IF(U30=0,"No Due","Outstanding")</f>
        <v>No Due</v>
      </c>
      <c r="Y30" s="25" t="s">
        <v>56</v>
      </c>
      <c r="Z30" s="266">
        <v>0</v>
      </c>
      <c r="AA30" s="41">
        <v>0</v>
      </c>
      <c r="AB30" s="41">
        <v>0</v>
      </c>
      <c r="AC30" s="41">
        <v>0</v>
      </c>
      <c r="AD30" s="41">
        <v>0</v>
      </c>
      <c r="AE30" s="236">
        <f>SUM(Z30:AD30)</f>
        <v>0</v>
      </c>
      <c r="AF30" s="239">
        <f>J30-AE30</f>
        <v>20545</v>
      </c>
      <c r="AG30" s="237">
        <v>20545</v>
      </c>
      <c r="AH30" s="237">
        <v>0</v>
      </c>
      <c r="AI30" s="237"/>
    </row>
    <row r="31" spans="1:35" ht="30" hidden="1" customHeight="1" x14ac:dyDescent="0.3">
      <c r="A31" s="3">
        <f>A30+1</f>
        <v>30</v>
      </c>
      <c r="B31" s="154" t="s">
        <v>181</v>
      </c>
      <c r="C31" s="46">
        <v>45782</v>
      </c>
      <c r="D31" s="46" t="s">
        <v>33</v>
      </c>
      <c r="E31" s="269" t="s">
        <v>214</v>
      </c>
      <c r="F31" s="42" t="s">
        <v>34</v>
      </c>
      <c r="G31" s="65">
        <v>36</v>
      </c>
      <c r="H31" s="8" t="s">
        <v>55</v>
      </c>
      <c r="I31" s="24" t="s">
        <v>213</v>
      </c>
      <c r="J31" s="45">
        <v>10171</v>
      </c>
      <c r="K31" s="43">
        <f>ROUND(IF(G31=36,J31*9%,0),0)</f>
        <v>915</v>
      </c>
      <c r="L31" s="40">
        <f>ROUND(IF(G31=36,J31*9%,0),0)</f>
        <v>915</v>
      </c>
      <c r="M31" s="40">
        <f>ROUND(IF(G31=36,J31*0%,J31*18%),0)</f>
        <v>0</v>
      </c>
      <c r="N31" s="406">
        <f>J31+K31+L31+M31</f>
        <v>12001</v>
      </c>
      <c r="O31" s="21">
        <f>N31-Q31</f>
        <v>1017.1000000000004</v>
      </c>
      <c r="P31" s="9">
        <f>O31/J31</f>
        <v>0.10000000000000003</v>
      </c>
      <c r="Q31" s="23">
        <f>N31-(J31*10%)</f>
        <v>10983.9</v>
      </c>
      <c r="R31" s="5">
        <v>45814</v>
      </c>
      <c r="S31" s="6" t="s">
        <v>74</v>
      </c>
      <c r="T31" s="10" t="s">
        <v>124</v>
      </c>
      <c r="U31" s="66">
        <f>N31-O31-Q31</f>
        <v>0</v>
      </c>
      <c r="V31" s="8"/>
      <c r="W31" s="7" t="str">
        <f>IF(U31=0,"No Due","Outstanding")</f>
        <v>No Due</v>
      </c>
      <c r="Z31" s="266">
        <v>0</v>
      </c>
      <c r="AA31" s="41">
        <v>0</v>
      </c>
      <c r="AB31" s="41">
        <v>0</v>
      </c>
      <c r="AC31" s="41">
        <v>0</v>
      </c>
      <c r="AD31" s="41">
        <v>0</v>
      </c>
      <c r="AE31" s="236">
        <f>SUM(Z31:AD31)</f>
        <v>0</v>
      </c>
      <c r="AF31" s="239">
        <f>J31-AE31</f>
        <v>10171</v>
      </c>
      <c r="AG31" s="237">
        <v>10171</v>
      </c>
      <c r="AH31" s="237">
        <v>0</v>
      </c>
      <c r="AI31" s="237"/>
    </row>
    <row r="32" spans="1:35" ht="30" hidden="1" customHeight="1" x14ac:dyDescent="0.3">
      <c r="A32" s="3">
        <f>A31+1</f>
        <v>31</v>
      </c>
      <c r="B32" s="154" t="s">
        <v>181</v>
      </c>
      <c r="C32" s="46">
        <v>45782</v>
      </c>
      <c r="D32" s="164" t="s">
        <v>70</v>
      </c>
      <c r="E32" s="269" t="s">
        <v>215</v>
      </c>
      <c r="F32" s="164" t="s">
        <v>134</v>
      </c>
      <c r="G32" s="165">
        <v>10</v>
      </c>
      <c r="H32" s="8" t="s">
        <v>39</v>
      </c>
      <c r="I32" s="24" t="s">
        <v>217</v>
      </c>
      <c r="J32" s="45">
        <v>39001</v>
      </c>
      <c r="K32" s="166">
        <f>ROUND(IF(G32=36,J32*9%,0),0)</f>
        <v>0</v>
      </c>
      <c r="L32" s="40">
        <f>ROUND(IF(G32=36,J32*9%,0),0)</f>
        <v>0</v>
      </c>
      <c r="M32" s="40">
        <f>ROUND(IF(G32=36,J32*0%,J32*18%),0)</f>
        <v>7020</v>
      </c>
      <c r="N32" s="406">
        <f>J32+K32+L32+M32</f>
        <v>46021</v>
      </c>
      <c r="O32" s="21">
        <f>N32-Q32</f>
        <v>3901</v>
      </c>
      <c r="P32" s="9">
        <f>O32/J32</f>
        <v>0.10002307633137612</v>
      </c>
      <c r="Q32" s="23">
        <f>42120</f>
        <v>42120</v>
      </c>
      <c r="R32" s="5">
        <v>45803</v>
      </c>
      <c r="S32" s="6" t="s">
        <v>74</v>
      </c>
      <c r="T32" s="10" t="s">
        <v>136</v>
      </c>
      <c r="U32" s="66">
        <f>N32-O32-Q32</f>
        <v>0</v>
      </c>
      <c r="V32" s="8"/>
      <c r="W32" s="7" t="str">
        <f>IF(U32=0,"No Due","Outstanding")</f>
        <v>No Due</v>
      </c>
      <c r="Z32" s="266">
        <v>34201</v>
      </c>
      <c r="AA32" s="41">
        <v>3750</v>
      </c>
      <c r="AB32" s="41">
        <v>0</v>
      </c>
      <c r="AC32" s="41">
        <v>200</v>
      </c>
      <c r="AD32" s="41">
        <v>0</v>
      </c>
      <c r="AE32" s="236">
        <f>SUM(Z32:AD32)</f>
        <v>38151</v>
      </c>
      <c r="AF32" s="239">
        <f>J32-AE32</f>
        <v>850</v>
      </c>
      <c r="AG32" s="237">
        <v>850</v>
      </c>
      <c r="AH32" s="237">
        <v>0</v>
      </c>
      <c r="AI32" s="237"/>
    </row>
    <row r="33" spans="1:35" ht="30" hidden="1" customHeight="1" x14ac:dyDescent="0.3">
      <c r="A33" s="3">
        <f>A32+1</f>
        <v>32</v>
      </c>
      <c r="B33" s="154" t="s">
        <v>181</v>
      </c>
      <c r="C33" s="46">
        <v>45782</v>
      </c>
      <c r="D33" s="164" t="s">
        <v>70</v>
      </c>
      <c r="E33" s="269" t="s">
        <v>216</v>
      </c>
      <c r="F33" s="164" t="s">
        <v>134</v>
      </c>
      <c r="G33" s="165">
        <v>10</v>
      </c>
      <c r="H33" s="8" t="s">
        <v>39</v>
      </c>
      <c r="I33" s="24" t="s">
        <v>217</v>
      </c>
      <c r="J33" s="45">
        <v>60709</v>
      </c>
      <c r="K33" s="166">
        <f>ROUND(IF(G33=36,J33*9%,0),0)</f>
        <v>0</v>
      </c>
      <c r="L33" s="40">
        <f>ROUND(IF(G33=36,J33*9%,0),0)</f>
        <v>0</v>
      </c>
      <c r="M33" s="40">
        <f>ROUND(IF(G33=36,J33*0%,J33*18%),0)</f>
        <v>10928</v>
      </c>
      <c r="N33" s="406">
        <f>J33+K33+L33+M33</f>
        <v>71637</v>
      </c>
      <c r="O33" s="21">
        <f>N33-Q33</f>
        <v>6071.3800000000047</v>
      </c>
      <c r="P33" s="9">
        <f>O33/J33</f>
        <v>0.10000790657068977</v>
      </c>
      <c r="Q33" s="23">
        <f>65565.62</f>
        <v>65565.62</v>
      </c>
      <c r="R33" s="5">
        <v>45803</v>
      </c>
      <c r="S33" s="6" t="s">
        <v>74</v>
      </c>
      <c r="T33" s="10" t="s">
        <v>136</v>
      </c>
      <c r="U33" s="66">
        <f>N33-O33-Q33</f>
        <v>0</v>
      </c>
      <c r="V33" s="8"/>
      <c r="W33" s="7" t="str">
        <f>IF(U33=0,"No Due","Outstanding")</f>
        <v>No Due</v>
      </c>
      <c r="Y33" s="25"/>
      <c r="Z33" s="266">
        <v>55909</v>
      </c>
      <c r="AA33" s="41">
        <v>3750</v>
      </c>
      <c r="AB33" s="41">
        <v>0</v>
      </c>
      <c r="AC33" s="41">
        <v>200</v>
      </c>
      <c r="AD33" s="41">
        <v>0</v>
      </c>
      <c r="AE33" s="236">
        <f>SUM(Z33:AD33)</f>
        <v>59859</v>
      </c>
      <c r="AF33" s="239">
        <f>J33-AE33</f>
        <v>850</v>
      </c>
      <c r="AG33" s="237">
        <v>850</v>
      </c>
      <c r="AH33" s="237">
        <v>0</v>
      </c>
      <c r="AI33" s="237"/>
    </row>
    <row r="34" spans="1:35" ht="30" hidden="1" customHeight="1" x14ac:dyDescent="0.3">
      <c r="A34" s="3">
        <f>A33+1</f>
        <v>33</v>
      </c>
      <c r="B34" s="154" t="s">
        <v>181</v>
      </c>
      <c r="C34" s="46">
        <v>45782</v>
      </c>
      <c r="D34" s="60" t="s">
        <v>33</v>
      </c>
      <c r="E34" s="279" t="s">
        <v>218</v>
      </c>
      <c r="F34" s="60" t="s">
        <v>37</v>
      </c>
      <c r="G34" s="65">
        <v>36</v>
      </c>
      <c r="H34" s="8" t="s">
        <v>38</v>
      </c>
      <c r="I34" s="24" t="s">
        <v>219</v>
      </c>
      <c r="J34" s="45">
        <f>((109000*1)+133333+(158333*2))</f>
        <v>558999</v>
      </c>
      <c r="K34" s="43">
        <f>ROUND(IF(G34=36,J34*9%,0),0)</f>
        <v>50310</v>
      </c>
      <c r="L34" s="40">
        <f>ROUND(IF(G34=36,J34*9%,0),0)</f>
        <v>50310</v>
      </c>
      <c r="M34" s="40">
        <f>ROUND(IF(G34=36,J34*0%,J34*18%),0)</f>
        <v>0</v>
      </c>
      <c r="N34" s="406">
        <f>J34+K34+L34+M34</f>
        <v>659619</v>
      </c>
      <c r="O34" s="21">
        <f>N34-Q34</f>
        <v>55900</v>
      </c>
      <c r="P34" s="9">
        <f>O34/J34</f>
        <v>0.10000017889119658</v>
      </c>
      <c r="Q34" s="23">
        <v>603719</v>
      </c>
      <c r="R34" s="5">
        <v>45882</v>
      </c>
      <c r="S34" s="6" t="s">
        <v>74</v>
      </c>
      <c r="T34" s="10" t="s">
        <v>124</v>
      </c>
      <c r="U34" s="66">
        <f>N34-O34-Q34</f>
        <v>0</v>
      </c>
      <c r="V34" s="8"/>
      <c r="W34" s="7" t="str">
        <f>IF(U34=0,"No Due","Outstanding")</f>
        <v>No Due</v>
      </c>
      <c r="Y34" s="25"/>
      <c r="Z34" s="266">
        <v>468948</v>
      </c>
      <c r="AA34" s="41">
        <v>15000</v>
      </c>
      <c r="AB34" s="41">
        <v>0</v>
      </c>
      <c r="AC34" s="41">
        <v>800</v>
      </c>
      <c r="AD34" s="41">
        <v>0</v>
      </c>
      <c r="AE34" s="236">
        <f>SUM(Z34:AD34)</f>
        <v>484748</v>
      </c>
      <c r="AF34" s="239">
        <f>J34-AE34</f>
        <v>74251</v>
      </c>
      <c r="AG34" s="237">
        <v>74251</v>
      </c>
      <c r="AH34" s="237">
        <v>0</v>
      </c>
      <c r="AI34" s="237"/>
    </row>
    <row r="35" spans="1:35" ht="30" hidden="1" customHeight="1" x14ac:dyDescent="0.3">
      <c r="A35" s="3">
        <f>A34+1</f>
        <v>34</v>
      </c>
      <c r="B35" s="154" t="s">
        <v>181</v>
      </c>
      <c r="C35" s="46">
        <v>45782</v>
      </c>
      <c r="D35" s="167" t="s">
        <v>70</v>
      </c>
      <c r="E35" s="269" t="s">
        <v>220</v>
      </c>
      <c r="F35" s="167" t="s">
        <v>138</v>
      </c>
      <c r="G35" s="168">
        <v>36</v>
      </c>
      <c r="H35" s="8" t="s">
        <v>49</v>
      </c>
      <c r="I35" s="24" t="s">
        <v>224</v>
      </c>
      <c r="J35" s="45">
        <v>23587797</v>
      </c>
      <c r="K35" s="169">
        <f>ROUND(IF(G35=36,J35*9%,0),0)</f>
        <v>2122902</v>
      </c>
      <c r="L35" s="40">
        <f>ROUND(IF(G35=36,J35*9%,0),0)</f>
        <v>2122902</v>
      </c>
      <c r="M35" s="40">
        <f>ROUND(IF(G35=36,J35*0%,J35*18%),0)</f>
        <v>0</v>
      </c>
      <c r="N35" s="407">
        <f>J35+K35+L35+M35</f>
        <v>27833601</v>
      </c>
      <c r="O35" s="21">
        <f>J35*0.25%</f>
        <v>58969.4925</v>
      </c>
      <c r="P35" s="9">
        <f>O35/J35</f>
        <v>2.5000000000000001E-3</v>
      </c>
      <c r="Q35" s="23">
        <f>N35-O35</f>
        <v>27774631.5075</v>
      </c>
      <c r="R35" s="5">
        <v>45807</v>
      </c>
      <c r="S35" s="6" t="s">
        <v>74</v>
      </c>
      <c r="T35" s="10" t="s">
        <v>96</v>
      </c>
      <c r="U35" s="66">
        <f>N35-O35-Q35</f>
        <v>0</v>
      </c>
      <c r="V35" s="8"/>
      <c r="W35" s="7" t="str">
        <f>IF(U35=0,"No Due","Outstanding")</f>
        <v>No Due</v>
      </c>
      <c r="Y35" s="25"/>
      <c r="Z35" s="266">
        <v>21370350</v>
      </c>
      <c r="AA35" s="41">
        <v>1837518</v>
      </c>
      <c r="AB35" s="41">
        <v>6129</v>
      </c>
      <c r="AC35" s="41">
        <v>97700</v>
      </c>
      <c r="AD35" s="41">
        <v>0</v>
      </c>
      <c r="AE35" s="236">
        <f>SUM(Z35:AD35)</f>
        <v>23311697</v>
      </c>
      <c r="AF35" s="239">
        <f>J35-AE35</f>
        <v>276100</v>
      </c>
      <c r="AG35" s="237">
        <f>AF35</f>
        <v>276100</v>
      </c>
      <c r="AH35" s="237">
        <v>0</v>
      </c>
      <c r="AI35" s="237"/>
    </row>
    <row r="36" spans="1:35" ht="30" hidden="1" customHeight="1" x14ac:dyDescent="0.3">
      <c r="A36" s="3">
        <f>A35+1</f>
        <v>35</v>
      </c>
      <c r="B36" s="154" t="s">
        <v>181</v>
      </c>
      <c r="C36" s="46">
        <v>45782</v>
      </c>
      <c r="D36" s="167" t="s">
        <v>70</v>
      </c>
      <c r="E36" s="269" t="s">
        <v>221</v>
      </c>
      <c r="F36" s="167" t="s">
        <v>158</v>
      </c>
      <c r="G36" s="168">
        <v>21</v>
      </c>
      <c r="H36" s="8" t="s">
        <v>56</v>
      </c>
      <c r="I36" s="24" t="s">
        <v>225</v>
      </c>
      <c r="J36" s="45">
        <v>42925</v>
      </c>
      <c r="K36" s="169">
        <f>ROUND(IF(G36=36,J36*9%,0),0)</f>
        <v>0</v>
      </c>
      <c r="L36" s="40">
        <f>ROUND(IF(G36=36,J36*9%,0),0)</f>
        <v>0</v>
      </c>
      <c r="M36" s="40">
        <f>ROUND(IF(G36=36,J36*0%,J36*18%),0)</f>
        <v>7727</v>
      </c>
      <c r="N36" s="407">
        <f>J36+K36+L36+M36</f>
        <v>50652</v>
      </c>
      <c r="O36" s="21">
        <v>107</v>
      </c>
      <c r="P36" s="9">
        <f>O36/J36</f>
        <v>2.4927198602213161E-3</v>
      </c>
      <c r="Q36" s="23">
        <f>30762.62+19782</f>
        <v>50544.619999999995</v>
      </c>
      <c r="R36" s="263" t="s">
        <v>525</v>
      </c>
      <c r="S36" s="6" t="s">
        <v>74</v>
      </c>
      <c r="T36" s="10" t="s">
        <v>96</v>
      </c>
      <c r="U36" s="66">
        <f>N36-O36-Q36</f>
        <v>0.38000000000465661</v>
      </c>
      <c r="V36" s="24" t="s">
        <v>369</v>
      </c>
      <c r="W36" s="383" t="s">
        <v>811</v>
      </c>
      <c r="Y36" s="25"/>
      <c r="Z36" s="266">
        <v>38425</v>
      </c>
      <c r="AA36" s="41">
        <v>3750</v>
      </c>
      <c r="AB36" s="41">
        <v>0</v>
      </c>
      <c r="AC36" s="41">
        <v>200</v>
      </c>
      <c r="AD36" s="41">
        <v>0</v>
      </c>
      <c r="AE36" s="236">
        <f>SUM(Z36:AD36)</f>
        <v>42375</v>
      </c>
      <c r="AF36" s="239">
        <f>J36-AE36</f>
        <v>550</v>
      </c>
      <c r="AG36" s="237">
        <f>AF36</f>
        <v>550</v>
      </c>
      <c r="AH36" s="237">
        <v>0</v>
      </c>
      <c r="AI36" s="237"/>
    </row>
    <row r="37" spans="1:35" ht="30" hidden="1" customHeight="1" x14ac:dyDescent="0.3">
      <c r="A37" s="3">
        <f>A36+1</f>
        <v>36</v>
      </c>
      <c r="B37" s="154" t="s">
        <v>181</v>
      </c>
      <c r="C37" s="46">
        <v>45782</v>
      </c>
      <c r="D37" s="167" t="s">
        <v>70</v>
      </c>
      <c r="E37" s="269" t="s">
        <v>222</v>
      </c>
      <c r="F37" s="167" t="s">
        <v>138</v>
      </c>
      <c r="G37" s="168">
        <v>36</v>
      </c>
      <c r="H37" s="8" t="s">
        <v>49</v>
      </c>
      <c r="I37" s="24" t="s">
        <v>226</v>
      </c>
      <c r="J37" s="45">
        <v>199382</v>
      </c>
      <c r="K37" s="169">
        <f>ROUND(IF(G37=36,J37*9%,0),0)</f>
        <v>17944</v>
      </c>
      <c r="L37" s="40">
        <f>ROUND(IF(G37=36,J37*9%,0),0)</f>
        <v>17944</v>
      </c>
      <c r="M37" s="40">
        <f>ROUND(IF(G37=36,J37*0%,J37*18%),0)</f>
        <v>0</v>
      </c>
      <c r="N37" s="407">
        <f>J37+K37+L37+M37</f>
        <v>235270</v>
      </c>
      <c r="O37" s="21">
        <f>J37*0.25%</f>
        <v>498.45499999999998</v>
      </c>
      <c r="P37" s="9">
        <f>O37/J37</f>
        <v>2.5000000000000001E-3</v>
      </c>
      <c r="Q37" s="23">
        <f>N37-O37</f>
        <v>234771.54500000001</v>
      </c>
      <c r="R37" s="5">
        <v>45807</v>
      </c>
      <c r="S37" s="6" t="s">
        <v>74</v>
      </c>
      <c r="T37" s="10" t="s">
        <v>96</v>
      </c>
      <c r="U37" s="66">
        <f>N37-O37-Q37</f>
        <v>0</v>
      </c>
      <c r="V37" s="8"/>
      <c r="W37" s="7" t="str">
        <f>IF(U37=0,"No Due","Outstanding")</f>
        <v>No Due</v>
      </c>
      <c r="Y37" s="25"/>
      <c r="Z37" s="266">
        <v>194982</v>
      </c>
      <c r="AA37" s="41">
        <v>0</v>
      </c>
      <c r="AB37" s="41">
        <v>0</v>
      </c>
      <c r="AC37" s="41">
        <v>0</v>
      </c>
      <c r="AD37" s="41">
        <v>0</v>
      </c>
      <c r="AE37" s="236">
        <f>SUM(Z37:AD37)</f>
        <v>194982</v>
      </c>
      <c r="AF37" s="239">
        <f>J37-AE37</f>
        <v>4400</v>
      </c>
      <c r="AG37" s="237">
        <f>AF37</f>
        <v>4400</v>
      </c>
      <c r="AH37" s="237">
        <v>0</v>
      </c>
      <c r="AI37" s="237"/>
    </row>
    <row r="38" spans="1:35" ht="30" hidden="1" customHeight="1" x14ac:dyDescent="0.3">
      <c r="A38" s="3">
        <f>A37+1</f>
        <v>37</v>
      </c>
      <c r="B38" s="154" t="s">
        <v>181</v>
      </c>
      <c r="C38" s="46">
        <v>45782</v>
      </c>
      <c r="D38" s="167" t="s">
        <v>70</v>
      </c>
      <c r="E38" s="269" t="s">
        <v>223</v>
      </c>
      <c r="F38" s="167" t="s">
        <v>138</v>
      </c>
      <c r="G38" s="168">
        <v>36</v>
      </c>
      <c r="H38" s="8" t="s">
        <v>49</v>
      </c>
      <c r="I38" s="24" t="s">
        <v>227</v>
      </c>
      <c r="J38" s="39">
        <v>418469</v>
      </c>
      <c r="K38" s="169">
        <f>ROUND(IF(G38=36,J38*9%,0),0)</f>
        <v>37662</v>
      </c>
      <c r="L38" s="40">
        <f>ROUND(IF(G38=36,J38*9%,0),0)</f>
        <v>37662</v>
      </c>
      <c r="M38" s="40">
        <f>ROUND(IF(G38=36,J38*0%,J38*18%),0)</f>
        <v>0</v>
      </c>
      <c r="N38" s="407">
        <f>J38+K38+L38+M38</f>
        <v>493793</v>
      </c>
      <c r="O38" s="21">
        <f>J38*0.25%</f>
        <v>1046.1725000000001</v>
      </c>
      <c r="P38" s="9">
        <f>O38/J38</f>
        <v>2.5000000000000005E-3</v>
      </c>
      <c r="Q38" s="23">
        <f>N38-O38</f>
        <v>492746.82750000001</v>
      </c>
      <c r="R38" s="5">
        <v>45807</v>
      </c>
      <c r="S38" s="6" t="s">
        <v>74</v>
      </c>
      <c r="T38" s="10" t="s">
        <v>96</v>
      </c>
      <c r="U38" s="66">
        <f>N38-O38-Q38</f>
        <v>0</v>
      </c>
      <c r="V38" s="8"/>
      <c r="W38" s="7" t="str">
        <f>IF(U38=0,"No Due","Outstanding")</f>
        <v>No Due</v>
      </c>
      <c r="Z38" s="266">
        <v>401419</v>
      </c>
      <c r="AA38" s="41">
        <v>0</v>
      </c>
      <c r="AB38" s="41">
        <v>0</v>
      </c>
      <c r="AC38" s="41">
        <v>0</v>
      </c>
      <c r="AD38" s="41">
        <v>0</v>
      </c>
      <c r="AE38" s="236">
        <f>SUM(Z38:AD38)</f>
        <v>401419</v>
      </c>
      <c r="AF38" s="239">
        <f>J38-AE38</f>
        <v>17050</v>
      </c>
      <c r="AG38" s="237">
        <f>AF38</f>
        <v>17050</v>
      </c>
      <c r="AH38" s="237">
        <v>0</v>
      </c>
      <c r="AI38" s="237"/>
    </row>
    <row r="39" spans="1:35" ht="30" hidden="1" customHeight="1" x14ac:dyDescent="0.3">
      <c r="A39" s="3">
        <f>A38+1</f>
        <v>38</v>
      </c>
      <c r="B39" s="154" t="s">
        <v>181</v>
      </c>
      <c r="C39" s="46">
        <v>45783</v>
      </c>
      <c r="D39" s="75" t="s">
        <v>70</v>
      </c>
      <c r="E39" s="269" t="s">
        <v>228</v>
      </c>
      <c r="F39" s="110" t="s">
        <v>126</v>
      </c>
      <c r="G39" s="65">
        <v>24</v>
      </c>
      <c r="H39" s="8" t="s">
        <v>125</v>
      </c>
      <c r="I39" s="24" t="s">
        <v>229</v>
      </c>
      <c r="J39" s="45">
        <v>2475292</v>
      </c>
      <c r="K39" s="43">
        <f>ROUND(IF(G39=36,J39*9%,0),0)</f>
        <v>0</v>
      </c>
      <c r="L39" s="40">
        <f>ROUND(IF(G39=36,J39*9%,0),0)</f>
        <v>0</v>
      </c>
      <c r="M39" s="40">
        <f>ROUND(IF(G39=36,J39*0%,J39*18%),0)</f>
        <v>445553</v>
      </c>
      <c r="N39" s="406">
        <f>J39+K39+L39+M39</f>
        <v>2920845</v>
      </c>
      <c r="O39" s="21">
        <f>N39-Q39</f>
        <v>6188</v>
      </c>
      <c r="P39" s="9">
        <f>O39/J39</f>
        <v>2.4999070816695565E-3</v>
      </c>
      <c r="Q39" s="23">
        <v>2914657</v>
      </c>
      <c r="R39" s="5">
        <v>45790</v>
      </c>
      <c r="S39" s="6" t="s">
        <v>74</v>
      </c>
      <c r="T39" s="10" t="s">
        <v>136</v>
      </c>
      <c r="U39" s="66">
        <f>N39-O39-Q39</f>
        <v>0</v>
      </c>
      <c r="V39" s="8"/>
      <c r="W39" s="7" t="str">
        <f>IF(U39=0,"No Due","Outstanding")</f>
        <v>No Due</v>
      </c>
      <c r="Z39" s="266">
        <v>2028812</v>
      </c>
      <c r="AA39" s="41">
        <v>311330</v>
      </c>
      <c r="AB39" s="41">
        <v>0</v>
      </c>
      <c r="AC39" s="41">
        <v>15600</v>
      </c>
      <c r="AD39" s="41">
        <v>0</v>
      </c>
      <c r="AE39" s="236">
        <f>SUM(Z39:AD39)</f>
        <v>2355742</v>
      </c>
      <c r="AF39" s="239">
        <f>J39-AE39</f>
        <v>119550</v>
      </c>
      <c r="AG39" s="237">
        <f>AF39-AH39</f>
        <v>87550</v>
      </c>
      <c r="AH39" s="237">
        <v>32000</v>
      </c>
      <c r="AI39" s="237"/>
    </row>
    <row r="40" spans="1:35" ht="30" hidden="1" customHeight="1" x14ac:dyDescent="0.3">
      <c r="A40" s="3">
        <f>A39+1</f>
        <v>39</v>
      </c>
      <c r="B40" s="154" t="s">
        <v>181</v>
      </c>
      <c r="C40" s="46">
        <v>45784</v>
      </c>
      <c r="D40" s="171" t="s">
        <v>70</v>
      </c>
      <c r="E40" s="269" t="s">
        <v>230</v>
      </c>
      <c r="F40" s="171" t="s">
        <v>72</v>
      </c>
      <c r="G40" s="172">
        <v>24</v>
      </c>
      <c r="H40" s="8" t="s">
        <v>61</v>
      </c>
      <c r="I40" s="24" t="s">
        <v>238</v>
      </c>
      <c r="J40" s="45">
        <v>3078104</v>
      </c>
      <c r="K40" s="173">
        <f>ROUND(IF(G40=36,J40*9%,0),0)</f>
        <v>0</v>
      </c>
      <c r="L40" s="40">
        <f>ROUND(IF(G40=36,J40*9%,0),0)</f>
        <v>0</v>
      </c>
      <c r="M40" s="40">
        <f>ROUND(IF(G40=36,J40*0%,J40*18%),0)</f>
        <v>554059</v>
      </c>
      <c r="N40" s="406">
        <f>J40+K40+L40+M40</f>
        <v>3632163</v>
      </c>
      <c r="O40" s="21">
        <f>N40-Q40</f>
        <v>61562.279999999795</v>
      </c>
      <c r="P40" s="9">
        <f>O40/J40</f>
        <v>2.0000064975062504E-2</v>
      </c>
      <c r="Q40" s="23">
        <v>3570600.72</v>
      </c>
      <c r="R40" s="5">
        <v>45789</v>
      </c>
      <c r="S40" s="6" t="s">
        <v>74</v>
      </c>
      <c r="T40" s="10" t="s">
        <v>75</v>
      </c>
      <c r="U40" s="66">
        <f>N40-O40-Q40</f>
        <v>0</v>
      </c>
      <c r="V40" s="8"/>
      <c r="W40" s="7" t="str">
        <f>IF(U40=0,"No Due","Outstanding")</f>
        <v>No Due</v>
      </c>
      <c r="Z40" s="266">
        <v>2615998</v>
      </c>
      <c r="AA40" s="41">
        <v>297545</v>
      </c>
      <c r="AB40" s="41">
        <v>10273.24</v>
      </c>
      <c r="AC40" s="41">
        <v>14700</v>
      </c>
      <c r="AD40" s="248">
        <v>69079</v>
      </c>
      <c r="AE40" s="236">
        <f>SUM(Z40:AD40)</f>
        <v>3007595.24</v>
      </c>
      <c r="AF40" s="239">
        <f>J40-AE40</f>
        <v>70508.759999999776</v>
      </c>
      <c r="AG40" s="237">
        <f>AF40</f>
        <v>70508.759999999776</v>
      </c>
      <c r="AH40" s="237">
        <v>0</v>
      </c>
      <c r="AI40" s="264"/>
    </row>
    <row r="41" spans="1:35" ht="30" hidden="1" customHeight="1" x14ac:dyDescent="0.3">
      <c r="A41" s="3">
        <f>A40+1</f>
        <v>40</v>
      </c>
      <c r="B41" s="154" t="s">
        <v>181</v>
      </c>
      <c r="C41" s="46">
        <v>45784</v>
      </c>
      <c r="D41" s="171" t="s">
        <v>70</v>
      </c>
      <c r="E41" s="269" t="s">
        <v>231</v>
      </c>
      <c r="F41" s="171" t="s">
        <v>110</v>
      </c>
      <c r="G41" s="172">
        <v>37</v>
      </c>
      <c r="H41" s="8" t="s">
        <v>59</v>
      </c>
      <c r="I41" s="24" t="s">
        <v>237</v>
      </c>
      <c r="J41" s="45">
        <v>9590912</v>
      </c>
      <c r="K41" s="173">
        <f>ROUND(IF(G41=36,J41*9%,0),0)</f>
        <v>0</v>
      </c>
      <c r="L41" s="40">
        <f>ROUND(IF(G41=36,J41*9%,0),0)</f>
        <v>0</v>
      </c>
      <c r="M41" s="40">
        <f>ROUND(IF(G41=36,J41*0%,J41*18%),0)</f>
        <v>1726364</v>
      </c>
      <c r="N41" s="406">
        <f>J41+K41+L41+M41</f>
        <v>11317276</v>
      </c>
      <c r="O41" s="21">
        <f>N41-Q41</f>
        <v>23977.669999999925</v>
      </c>
      <c r="P41" s="9">
        <f>O41/J41</f>
        <v>2.5000406634947672E-3</v>
      </c>
      <c r="Q41" s="23">
        <f>11125459.33+167839</f>
        <v>11293298.33</v>
      </c>
      <c r="R41" s="220" t="s">
        <v>365</v>
      </c>
      <c r="S41" s="6" t="s">
        <v>74</v>
      </c>
      <c r="T41" s="10" t="s">
        <v>248</v>
      </c>
      <c r="U41" s="66">
        <f>N41-O41-Q41</f>
        <v>0</v>
      </c>
      <c r="V41" s="8" t="s">
        <v>366</v>
      </c>
      <c r="W41" s="7" t="str">
        <f>IF(U41=0,"No Due","Outstanding")</f>
        <v>No Due</v>
      </c>
      <c r="Z41" s="266">
        <v>6267448</v>
      </c>
      <c r="AA41" s="41">
        <v>1302038</v>
      </c>
      <c r="AB41" s="41">
        <v>243217.28000000006</v>
      </c>
      <c r="AC41" s="41">
        <v>34050</v>
      </c>
      <c r="AD41" s="248">
        <v>1275958</v>
      </c>
      <c r="AE41" s="236">
        <f>SUM(Z41:AD41)</f>
        <v>9122711.2800000012</v>
      </c>
      <c r="AF41" s="239">
        <f>J41-AE41</f>
        <v>468200.71999999881</v>
      </c>
      <c r="AG41" s="237">
        <f>AF41</f>
        <v>468200.71999999881</v>
      </c>
      <c r="AH41" s="237">
        <v>0</v>
      </c>
      <c r="AI41" s="237"/>
    </row>
    <row r="42" spans="1:35" ht="30" hidden="1" customHeight="1" x14ac:dyDescent="0.3">
      <c r="A42" s="3">
        <f>A41+1</f>
        <v>41</v>
      </c>
      <c r="B42" s="154" t="s">
        <v>181</v>
      </c>
      <c r="C42" s="46">
        <v>45784</v>
      </c>
      <c r="D42" s="171" t="s">
        <v>70</v>
      </c>
      <c r="E42" s="269" t="s">
        <v>232</v>
      </c>
      <c r="F42" s="171" t="s">
        <v>110</v>
      </c>
      <c r="G42" s="172">
        <v>37</v>
      </c>
      <c r="H42" s="8" t="s">
        <v>59</v>
      </c>
      <c r="I42" s="24" t="s">
        <v>239</v>
      </c>
      <c r="J42" s="45">
        <v>6535037</v>
      </c>
      <c r="K42" s="173">
        <f>ROUND(IF(G42=36,J42*9%,0),0)</f>
        <v>0</v>
      </c>
      <c r="L42" s="40">
        <f>ROUND(IF(G42=36,J42*9%,0),0)</f>
        <v>0</v>
      </c>
      <c r="M42" s="40">
        <f>ROUND(IF(G42=36,J42*0%,J42*18%),0)</f>
        <v>1176307</v>
      </c>
      <c r="N42" s="406">
        <f>J42+K42+L42+M42</f>
        <v>7711344</v>
      </c>
      <c r="O42" s="21">
        <f>N42-Q42</f>
        <v>16337.139999999665</v>
      </c>
      <c r="P42" s="9">
        <f>O42/J42</f>
        <v>2.4999307578518169E-3</v>
      </c>
      <c r="Q42" s="23">
        <f>7580642.86+114364</f>
        <v>7695006.8600000003</v>
      </c>
      <c r="R42" s="220" t="s">
        <v>365</v>
      </c>
      <c r="S42" s="6" t="s">
        <v>74</v>
      </c>
      <c r="T42" s="10" t="s">
        <v>248</v>
      </c>
      <c r="U42" s="66">
        <f>N42-O42-Q42</f>
        <v>0</v>
      </c>
      <c r="V42" s="8" t="s">
        <v>367</v>
      </c>
      <c r="W42" s="7" t="str">
        <f>IF(U42=0,"No Due","Outstanding")</f>
        <v>No Due</v>
      </c>
      <c r="Z42" s="266">
        <v>4734284</v>
      </c>
      <c r="AA42" s="41">
        <v>832742</v>
      </c>
      <c r="AB42" s="41">
        <v>105726.83999999995</v>
      </c>
      <c r="AC42" s="41">
        <v>17900</v>
      </c>
      <c r="AD42" s="248">
        <v>407690</v>
      </c>
      <c r="AE42" s="236">
        <f>SUM(Z42:AD42)</f>
        <v>6098342.8399999999</v>
      </c>
      <c r="AF42" s="239">
        <f>J42-AE42</f>
        <v>436694.16000000015</v>
      </c>
      <c r="AG42" s="237">
        <f>AF42</f>
        <v>436694.16000000015</v>
      </c>
      <c r="AH42" s="237">
        <v>0</v>
      </c>
      <c r="AI42" s="237"/>
    </row>
    <row r="43" spans="1:35" ht="30" hidden="1" customHeight="1" x14ac:dyDescent="0.3">
      <c r="A43" s="3">
        <f>A42+1</f>
        <v>42</v>
      </c>
      <c r="B43" s="154" t="s">
        <v>181</v>
      </c>
      <c r="C43" s="46">
        <v>45784</v>
      </c>
      <c r="D43" s="171" t="s">
        <v>70</v>
      </c>
      <c r="E43" s="269" t="s">
        <v>233</v>
      </c>
      <c r="F43" s="171" t="s">
        <v>110</v>
      </c>
      <c r="G43" s="172">
        <v>37</v>
      </c>
      <c r="H43" s="8" t="s">
        <v>59</v>
      </c>
      <c r="I43" s="24" t="s">
        <v>240</v>
      </c>
      <c r="J43" s="45">
        <v>12865566</v>
      </c>
      <c r="K43" s="173">
        <f>ROUND(IF(G43=36,J43*9%,0),0)</f>
        <v>0</v>
      </c>
      <c r="L43" s="40">
        <f>ROUND(IF(G43=36,J43*9%,0),0)</f>
        <v>0</v>
      </c>
      <c r="M43" s="40">
        <f>ROUND(IF(G43=36,J43*0%,J43*18%),0)</f>
        <v>2315802</v>
      </c>
      <c r="N43" s="406">
        <f>J43+K43+L43+M43</f>
        <v>15181368</v>
      </c>
      <c r="O43" s="21">
        <f>N43-Q43</f>
        <v>32163.519999999553</v>
      </c>
      <c r="P43" s="9">
        <f>O43/J43</f>
        <v>2.4999692978917177E-3</v>
      </c>
      <c r="Q43" s="23">
        <f>14924055.48+225149</f>
        <v>15149204.48</v>
      </c>
      <c r="R43" s="220" t="s">
        <v>365</v>
      </c>
      <c r="S43" s="6" t="s">
        <v>74</v>
      </c>
      <c r="T43" s="10" t="s">
        <v>248</v>
      </c>
      <c r="U43" s="66">
        <f>N43-O43-Q43</f>
        <v>0</v>
      </c>
      <c r="V43" s="8" t="s">
        <v>368</v>
      </c>
      <c r="W43" s="7" t="str">
        <f>IF(U43=0,"No Due","Outstanding")</f>
        <v>No Due</v>
      </c>
      <c r="Z43" s="266">
        <v>9805246</v>
      </c>
      <c r="AA43" s="41">
        <v>1435928</v>
      </c>
      <c r="AB43" s="41">
        <v>248935.56000000003</v>
      </c>
      <c r="AC43" s="41">
        <v>58500</v>
      </c>
      <c r="AD43" s="248">
        <v>755311</v>
      </c>
      <c r="AE43" s="236">
        <f>SUM(Z43:AD43)</f>
        <v>12303920.560000001</v>
      </c>
      <c r="AF43" s="239">
        <f>J43-AE43</f>
        <v>561645.43999999948</v>
      </c>
      <c r="AG43" s="237">
        <f>AF43</f>
        <v>561645.43999999948</v>
      </c>
      <c r="AH43" s="237">
        <v>0</v>
      </c>
      <c r="AI43" s="237"/>
    </row>
    <row r="44" spans="1:35" ht="30" hidden="1" customHeight="1" x14ac:dyDescent="0.3">
      <c r="A44" s="3">
        <f>A43+1</f>
        <v>43</v>
      </c>
      <c r="B44" s="154" t="s">
        <v>181</v>
      </c>
      <c r="C44" s="46">
        <v>45784</v>
      </c>
      <c r="D44" s="171" t="s">
        <v>70</v>
      </c>
      <c r="E44" s="269" t="s">
        <v>234</v>
      </c>
      <c r="F44" s="171" t="s">
        <v>99</v>
      </c>
      <c r="G44" s="172">
        <v>27</v>
      </c>
      <c r="H44" s="8" t="s">
        <v>62</v>
      </c>
      <c r="I44" s="24" t="s">
        <v>241</v>
      </c>
      <c r="J44" s="45">
        <v>1011958</v>
      </c>
      <c r="K44" s="173">
        <f>ROUND(IF(G44=36,J44*9%,0),0)</f>
        <v>0</v>
      </c>
      <c r="L44" s="40">
        <f>ROUND(IF(G44=36,J44*9%,0),0)</f>
        <v>0</v>
      </c>
      <c r="M44" s="40">
        <f>ROUND(IF(G44=36,J44*0%,J44*18%),0)</f>
        <v>182152</v>
      </c>
      <c r="N44" s="406">
        <f>J44+K44+L44+M44</f>
        <v>1194110</v>
      </c>
      <c r="O44" s="21">
        <f>J44*0.25%</f>
        <v>2529.895</v>
      </c>
      <c r="P44" s="9">
        <f>O44/J44</f>
        <v>2.5000000000000001E-3</v>
      </c>
      <c r="Q44" s="23">
        <f>ROUND(1173871.32+17709,0)</f>
        <v>1191580</v>
      </c>
      <c r="R44" s="208" t="s">
        <v>319</v>
      </c>
      <c r="S44" s="6" t="s">
        <v>74</v>
      </c>
      <c r="T44" s="10" t="s">
        <v>248</v>
      </c>
      <c r="U44" s="66">
        <f>N44-O44-Q44</f>
        <v>0.10499999998137355</v>
      </c>
      <c r="V44" s="8" t="s">
        <v>320</v>
      </c>
      <c r="W44" s="383" t="s">
        <v>811</v>
      </c>
      <c r="Z44" s="266">
        <v>754862</v>
      </c>
      <c r="AA44" s="41">
        <v>116738</v>
      </c>
      <c r="AB44" s="41">
        <v>6586.52</v>
      </c>
      <c r="AC44" s="41">
        <v>5900</v>
      </c>
      <c r="AD44" s="248">
        <v>97770</v>
      </c>
      <c r="AE44" s="236">
        <f>SUM(Z44:AD44)</f>
        <v>981856.52</v>
      </c>
      <c r="AF44" s="239">
        <f>J44-AE44</f>
        <v>30101.479999999981</v>
      </c>
      <c r="AG44" s="237">
        <f>AF44</f>
        <v>30101.479999999981</v>
      </c>
      <c r="AH44" s="237">
        <v>0</v>
      </c>
      <c r="AI44" s="237"/>
    </row>
    <row r="45" spans="1:35" ht="30" hidden="1" customHeight="1" x14ac:dyDescent="0.3">
      <c r="A45" s="3">
        <f>A44+1</f>
        <v>44</v>
      </c>
      <c r="B45" s="154" t="s">
        <v>181</v>
      </c>
      <c r="C45" s="46">
        <v>45784</v>
      </c>
      <c r="D45" s="171" t="s">
        <v>70</v>
      </c>
      <c r="E45" s="269" t="s">
        <v>235</v>
      </c>
      <c r="F45" s="171" t="s">
        <v>99</v>
      </c>
      <c r="G45" s="172">
        <v>27</v>
      </c>
      <c r="H45" s="8" t="s">
        <v>62</v>
      </c>
      <c r="I45" s="24" t="s">
        <v>242</v>
      </c>
      <c r="J45" s="45">
        <v>1284185</v>
      </c>
      <c r="K45" s="173">
        <f>ROUND(IF(G45=36,J45*9%,0),0)</f>
        <v>0</v>
      </c>
      <c r="L45" s="40">
        <f>ROUND(IF(G45=36,J45*9%,0),0)</f>
        <v>0</v>
      </c>
      <c r="M45" s="40">
        <f>ROUND(IF(G45=36,J45*0%,J45*18%),0)</f>
        <v>231153</v>
      </c>
      <c r="N45" s="406">
        <f>J45+K45+L45+M45</f>
        <v>1515338</v>
      </c>
      <c r="O45" s="21">
        <f>J45*0.25%</f>
        <v>3210.4625000000001</v>
      </c>
      <c r="P45" s="9">
        <f>O45/J45</f>
        <v>2.5000000000000001E-3</v>
      </c>
      <c r="Q45" s="23">
        <f>ROUND(1489654.14+22473,0)</f>
        <v>1512127</v>
      </c>
      <c r="R45" s="208" t="s">
        <v>319</v>
      </c>
      <c r="S45" s="6" t="s">
        <v>74</v>
      </c>
      <c r="T45" s="10" t="s">
        <v>248</v>
      </c>
      <c r="U45" s="66">
        <f>N45-O45-Q45</f>
        <v>0.53750000009313226</v>
      </c>
      <c r="V45" s="8" t="s">
        <v>321</v>
      </c>
      <c r="W45" s="383" t="s">
        <v>811</v>
      </c>
      <c r="Z45" s="266">
        <v>901338</v>
      </c>
      <c r="AA45" s="41">
        <v>124563</v>
      </c>
      <c r="AB45" s="41">
        <v>3203.24</v>
      </c>
      <c r="AC45" s="41">
        <v>6900</v>
      </c>
      <c r="AD45" s="248">
        <f>115451+102578</f>
        <v>218029</v>
      </c>
      <c r="AE45" s="236">
        <f>SUM(Z45:AD45)</f>
        <v>1254033.24</v>
      </c>
      <c r="AF45" s="239">
        <f>J45-AE45</f>
        <v>30151.760000000009</v>
      </c>
      <c r="AG45" s="237">
        <f>AF45</f>
        <v>30151.760000000009</v>
      </c>
      <c r="AH45" s="237">
        <v>0</v>
      </c>
      <c r="AI45" s="237"/>
    </row>
    <row r="46" spans="1:35" ht="30" hidden="1" customHeight="1" x14ac:dyDescent="0.3">
      <c r="A46" s="3">
        <f>A45+1</f>
        <v>45</v>
      </c>
      <c r="B46" s="154" t="s">
        <v>181</v>
      </c>
      <c r="C46" s="46">
        <v>45784</v>
      </c>
      <c r="D46" s="171" t="s">
        <v>70</v>
      </c>
      <c r="E46" s="269" t="s">
        <v>236</v>
      </c>
      <c r="F46" s="171" t="s">
        <v>115</v>
      </c>
      <c r="G46" s="172">
        <v>5</v>
      </c>
      <c r="H46" s="8" t="s">
        <v>63</v>
      </c>
      <c r="I46" s="24" t="s">
        <v>243</v>
      </c>
      <c r="J46" s="45">
        <v>2160412</v>
      </c>
      <c r="K46" s="173">
        <f>ROUND(IF(G46=36,J46*9%,0),0)</f>
        <v>0</v>
      </c>
      <c r="L46" s="40">
        <f>ROUND(IF(G46=36,J46*9%,0),0)</f>
        <v>0</v>
      </c>
      <c r="M46" s="40">
        <f>ROUND(IF(G46=36,J46*0%,J46*18%),0)</f>
        <v>388874</v>
      </c>
      <c r="N46" s="406">
        <f>J46+K46+L46+M46</f>
        <v>2549286</v>
      </c>
      <c r="O46" s="21">
        <f>N46-Q46</f>
        <v>43207.160000000149</v>
      </c>
      <c r="P46" s="9">
        <f>O46/J46</f>
        <v>1.999950009535225E-2</v>
      </c>
      <c r="Q46" s="23">
        <f>2506078.84</f>
        <v>2506078.84</v>
      </c>
      <c r="R46" s="5">
        <v>45787</v>
      </c>
      <c r="S46" s="6" t="s">
        <v>74</v>
      </c>
      <c r="T46" s="10" t="s">
        <v>248</v>
      </c>
      <c r="U46" s="66">
        <f>N46-O46-Q46</f>
        <v>0</v>
      </c>
      <c r="V46" s="8"/>
      <c r="W46" s="7" t="str">
        <f>IF(U46=0,"No Due","Outstanding")</f>
        <v>No Due</v>
      </c>
      <c r="Z46" s="266">
        <v>1308018</v>
      </c>
      <c r="AA46" s="41">
        <v>315962</v>
      </c>
      <c r="AB46" s="41">
        <v>72754</v>
      </c>
      <c r="AC46" s="41">
        <v>14925</v>
      </c>
      <c r="AD46" s="248">
        <f>248446+82155</f>
        <v>330601</v>
      </c>
      <c r="AE46" s="236">
        <f>SUM(Z46:AD46)</f>
        <v>2042260</v>
      </c>
      <c r="AF46" s="239">
        <f>J46-AE46</f>
        <v>118152</v>
      </c>
      <c r="AG46" s="237">
        <f>AF46</f>
        <v>118152</v>
      </c>
      <c r="AH46" s="237">
        <v>0</v>
      </c>
      <c r="AI46" s="237"/>
    </row>
    <row r="47" spans="1:35" ht="30" hidden="1" customHeight="1" x14ac:dyDescent="0.3">
      <c r="A47" s="3">
        <f>A46+1</f>
        <v>46</v>
      </c>
      <c r="B47" s="154" t="s">
        <v>181</v>
      </c>
      <c r="C47" s="46">
        <v>45784</v>
      </c>
      <c r="D47" s="123" t="s">
        <v>70</v>
      </c>
      <c r="E47" s="269" t="s">
        <v>246</v>
      </c>
      <c r="F47" s="123" t="s">
        <v>142</v>
      </c>
      <c r="G47" s="124">
        <v>24</v>
      </c>
      <c r="H47" s="8" t="s">
        <v>46</v>
      </c>
      <c r="I47" s="24" t="s">
        <v>247</v>
      </c>
      <c r="J47" s="45">
        <v>370100</v>
      </c>
      <c r="K47" s="125">
        <f>ROUND(IF(G47=36,J47*9%,0),0)</f>
        <v>0</v>
      </c>
      <c r="L47" s="40">
        <f>ROUND(IF(G47=36,J47*9%,0),0)</f>
        <v>0</v>
      </c>
      <c r="M47" s="40">
        <f>ROUND(IF(G47=36,J47*0%,J47*18%),0)</f>
        <v>66618</v>
      </c>
      <c r="N47" s="406">
        <f>J47+K47+L47+M47</f>
        <v>436718</v>
      </c>
      <c r="O47" s="21">
        <f>N47-Q47</f>
        <v>7402</v>
      </c>
      <c r="P47" s="9">
        <f>O47/J47</f>
        <v>0.02</v>
      </c>
      <c r="Q47" s="23">
        <f>N47-(J47*2%)</f>
        <v>429316</v>
      </c>
      <c r="R47" s="68">
        <v>45818</v>
      </c>
      <c r="S47" s="6" t="s">
        <v>74</v>
      </c>
      <c r="T47" s="10" t="s">
        <v>96</v>
      </c>
      <c r="U47" s="66">
        <f>N47-O47-Q47</f>
        <v>0</v>
      </c>
      <c r="V47" s="8"/>
      <c r="W47" s="7" t="str">
        <f>IF(U47=0,"No Due","Outstanding")</f>
        <v>No Due</v>
      </c>
      <c r="Z47" s="266">
        <v>341300</v>
      </c>
      <c r="AA47" s="41">
        <v>22500</v>
      </c>
      <c r="AB47" s="41">
        <v>0</v>
      </c>
      <c r="AC47" s="41">
        <v>1200</v>
      </c>
      <c r="AD47" s="41">
        <v>0</v>
      </c>
      <c r="AE47" s="236">
        <f>SUM(Z47:AD47)</f>
        <v>365000</v>
      </c>
      <c r="AF47" s="239">
        <f>J47-AE47</f>
        <v>5100</v>
      </c>
      <c r="AG47" s="237">
        <v>5100</v>
      </c>
      <c r="AH47" s="237">
        <v>0</v>
      </c>
      <c r="AI47" s="237"/>
    </row>
    <row r="48" spans="1:35" ht="30" hidden="1" customHeight="1" x14ac:dyDescent="0.3">
      <c r="A48" s="3">
        <f>A47+1</f>
        <v>47</v>
      </c>
      <c r="B48" s="154" t="s">
        <v>181</v>
      </c>
      <c r="C48" s="46">
        <v>45790</v>
      </c>
      <c r="D48" s="46" t="s">
        <v>33</v>
      </c>
      <c r="E48" s="269" t="s">
        <v>249</v>
      </c>
      <c r="F48" s="137" t="s">
        <v>34</v>
      </c>
      <c r="G48" s="138">
        <v>36</v>
      </c>
      <c r="H48" s="8" t="s">
        <v>55</v>
      </c>
      <c r="I48" s="24" t="s">
        <v>250</v>
      </c>
      <c r="J48" s="45">
        <v>72050</v>
      </c>
      <c r="K48" s="139">
        <f>ROUND(IF(G48=36,J48*9%,0),0)</f>
        <v>6485</v>
      </c>
      <c r="L48" s="40">
        <f>ROUND(IF(G48=36,J48*9%,0),0)</f>
        <v>6485</v>
      </c>
      <c r="M48" s="40">
        <f>ROUND(IF(G48=36,J48*0%,J48*18%),0)</f>
        <v>0</v>
      </c>
      <c r="N48" s="406">
        <f>J48+K48+L48+M48</f>
        <v>85020</v>
      </c>
      <c r="O48" s="21">
        <f>N48-Q48</f>
        <v>7205</v>
      </c>
      <c r="P48" s="9">
        <f>O48/J48</f>
        <v>0.1</v>
      </c>
      <c r="Q48" s="23">
        <v>77815</v>
      </c>
      <c r="R48" s="5">
        <v>45821</v>
      </c>
      <c r="S48" s="6" t="s">
        <v>74</v>
      </c>
      <c r="T48" s="10" t="s">
        <v>124</v>
      </c>
      <c r="U48" s="66">
        <f>N48-O48-Q48</f>
        <v>0</v>
      </c>
      <c r="V48" s="8"/>
      <c r="W48" s="7" t="str">
        <f>IF(U48=0,"No Due","Outstanding")</f>
        <v>No Due</v>
      </c>
      <c r="Z48" s="266">
        <v>40360</v>
      </c>
      <c r="AA48" s="41">
        <v>3750</v>
      </c>
      <c r="AB48" s="41">
        <v>0</v>
      </c>
      <c r="AC48" s="41">
        <v>200</v>
      </c>
      <c r="AD48" s="41">
        <v>0</v>
      </c>
      <c r="AE48" s="236">
        <f>SUM(Z48:AD48)</f>
        <v>44310</v>
      </c>
      <c r="AF48" s="239">
        <f>J48-AE48</f>
        <v>27740</v>
      </c>
      <c r="AG48" s="237">
        <v>27740</v>
      </c>
      <c r="AH48" s="237">
        <v>0</v>
      </c>
      <c r="AI48" s="237"/>
    </row>
    <row r="49" spans="1:35" ht="30" hidden="1" customHeight="1" x14ac:dyDescent="0.3">
      <c r="A49" s="3">
        <f>A48+1</f>
        <v>48</v>
      </c>
      <c r="B49" s="154" t="s">
        <v>181</v>
      </c>
      <c r="C49" s="46">
        <v>45798</v>
      </c>
      <c r="D49" s="167" t="s">
        <v>70</v>
      </c>
      <c r="E49" s="269" t="s">
        <v>264</v>
      </c>
      <c r="F49" s="167" t="s">
        <v>138</v>
      </c>
      <c r="G49" s="168">
        <v>36</v>
      </c>
      <c r="H49" s="8" t="s">
        <v>49</v>
      </c>
      <c r="I49" s="24" t="s">
        <v>265</v>
      </c>
      <c r="J49" s="39">
        <v>951635</v>
      </c>
      <c r="K49" s="169">
        <f>ROUND(IF(G49=36,J49*9%,0),0)</f>
        <v>85647</v>
      </c>
      <c r="L49" s="40">
        <f>ROUND(IF(G49=36,J49*9%,0),0)</f>
        <v>85647</v>
      </c>
      <c r="M49" s="40">
        <f>ROUND(IF(G49=36,J49*0%,J49*18%),0)</f>
        <v>0</v>
      </c>
      <c r="N49" s="407">
        <f>J49+K49+L49+M49</f>
        <v>1122929</v>
      </c>
      <c r="O49" s="21">
        <f>J49*0.25%</f>
        <v>2379.0875000000001</v>
      </c>
      <c r="P49" s="9">
        <f>O49/J49</f>
        <v>2.5000000000000001E-3</v>
      </c>
      <c r="Q49" s="23">
        <f>N49-O49</f>
        <v>1120549.9125000001</v>
      </c>
      <c r="R49" s="5">
        <v>45807</v>
      </c>
      <c r="S49" s="6" t="s">
        <v>74</v>
      </c>
      <c r="T49" s="10" t="s">
        <v>96</v>
      </c>
      <c r="U49" s="66">
        <f>N49-O49-Q49</f>
        <v>0</v>
      </c>
      <c r="V49" s="8"/>
      <c r="W49" s="7" t="str">
        <f>IF(U49=0,"No Due","Outstanding")</f>
        <v>No Due</v>
      </c>
      <c r="Z49" s="266">
        <v>914235</v>
      </c>
      <c r="AA49" s="41">
        <v>0</v>
      </c>
      <c r="AB49" s="41">
        <v>0</v>
      </c>
      <c r="AC49" s="41">
        <v>0</v>
      </c>
      <c r="AD49" s="41">
        <v>0</v>
      </c>
      <c r="AE49" s="236">
        <f>SUM(Z49:AD49)</f>
        <v>914235</v>
      </c>
      <c r="AF49" s="239">
        <f>J49-AE49</f>
        <v>37400</v>
      </c>
      <c r="AG49" s="237">
        <f>AF49</f>
        <v>37400</v>
      </c>
      <c r="AH49" s="237">
        <v>0</v>
      </c>
      <c r="AI49" s="237"/>
    </row>
    <row r="50" spans="1:35" ht="30" hidden="1" customHeight="1" x14ac:dyDescent="0.3">
      <c r="A50" s="3">
        <f>A49+1</f>
        <v>49</v>
      </c>
      <c r="B50" s="154" t="s">
        <v>181</v>
      </c>
      <c r="C50" s="46">
        <v>45798</v>
      </c>
      <c r="D50" s="130" t="s">
        <v>129</v>
      </c>
      <c r="E50" s="269" t="s">
        <v>266</v>
      </c>
      <c r="F50" s="130" t="s">
        <v>146</v>
      </c>
      <c r="G50" s="131">
        <v>36</v>
      </c>
      <c r="H50" s="8" t="s">
        <v>52</v>
      </c>
      <c r="I50" s="24" t="s">
        <v>268</v>
      </c>
      <c r="J50" s="45">
        <f>89*200</f>
        <v>17800</v>
      </c>
      <c r="K50" s="132">
        <f>ROUND(IF(G50=36,J50*9%,0),0)</f>
        <v>1602</v>
      </c>
      <c r="L50" s="40">
        <f>ROUND(IF(G50=36,J50*9%,0),0)</f>
        <v>1602</v>
      </c>
      <c r="M50" s="40">
        <f>ROUND(IF(G50=36,J50*0%,J50*18%),0)</f>
        <v>0</v>
      </c>
      <c r="N50" s="406">
        <f>J50+K50+L50+M50</f>
        <v>21004</v>
      </c>
      <c r="O50" s="21">
        <f>N50-Q50</f>
        <v>1780</v>
      </c>
      <c r="P50" s="9">
        <f>O50/J50</f>
        <v>0.1</v>
      </c>
      <c r="Q50" s="23">
        <v>19224</v>
      </c>
      <c r="R50" s="5">
        <v>45829</v>
      </c>
      <c r="S50" s="6" t="s">
        <v>74</v>
      </c>
      <c r="T50" s="10" t="s">
        <v>147</v>
      </c>
      <c r="U50" s="66">
        <f>N50-O50-Q50</f>
        <v>0</v>
      </c>
      <c r="V50" s="8"/>
      <c r="W50" s="7" t="str">
        <f>IF(U50=0,"No Due","Outstanding")</f>
        <v>No Due</v>
      </c>
      <c r="Z50" s="266">
        <v>0</v>
      </c>
      <c r="AA50" s="41">
        <v>0</v>
      </c>
      <c r="AB50" s="41">
        <v>0</v>
      </c>
      <c r="AC50" s="41">
        <v>0</v>
      </c>
      <c r="AD50" s="41">
        <v>0</v>
      </c>
      <c r="AE50" s="236">
        <f>SUM(Z50:AD50)</f>
        <v>0</v>
      </c>
      <c r="AF50" s="239">
        <f>J50-AE50</f>
        <v>17800</v>
      </c>
      <c r="AG50" s="237">
        <f>AF50</f>
        <v>17800</v>
      </c>
      <c r="AH50" s="237">
        <v>0</v>
      </c>
      <c r="AI50" s="237"/>
    </row>
    <row r="51" spans="1:35" ht="30" hidden="1" customHeight="1" x14ac:dyDescent="0.3">
      <c r="A51" s="3">
        <f>A50+1</f>
        <v>50</v>
      </c>
      <c r="B51" s="154" t="s">
        <v>181</v>
      </c>
      <c r="C51" s="46">
        <v>45798</v>
      </c>
      <c r="D51" s="130" t="s">
        <v>129</v>
      </c>
      <c r="E51" s="269" t="s">
        <v>267</v>
      </c>
      <c r="F51" s="130" t="s">
        <v>131</v>
      </c>
      <c r="G51" s="131">
        <v>36</v>
      </c>
      <c r="H51" s="8" t="s">
        <v>51</v>
      </c>
      <c r="I51" s="24" t="s">
        <v>268</v>
      </c>
      <c r="J51" s="45">
        <f>4*200</f>
        <v>800</v>
      </c>
      <c r="K51" s="132">
        <f>ROUND(IF(G51=36,J51*9%,0),0)</f>
        <v>72</v>
      </c>
      <c r="L51" s="40">
        <f>ROUND(IF(G51=36,J51*9%,0),0)</f>
        <v>72</v>
      </c>
      <c r="M51" s="40">
        <f>ROUND(IF(G51=36,J51*0%,J51*18%),0)</f>
        <v>0</v>
      </c>
      <c r="N51" s="406">
        <f>J51+K51+L51+M51</f>
        <v>944</v>
      </c>
      <c r="O51" s="21">
        <f>N51-Q51</f>
        <v>80</v>
      </c>
      <c r="P51" s="9">
        <f>O51/J51</f>
        <v>0.1</v>
      </c>
      <c r="Q51" s="23">
        <v>864</v>
      </c>
      <c r="R51" s="5">
        <v>45825</v>
      </c>
      <c r="S51" s="6" t="s">
        <v>74</v>
      </c>
      <c r="T51" s="10" t="s">
        <v>147</v>
      </c>
      <c r="U51" s="66">
        <f>N51-O51-Q51</f>
        <v>0</v>
      </c>
      <c r="V51" s="8"/>
      <c r="W51" s="7" t="str">
        <f>IF(U51=0,"No Due","Outstanding")</f>
        <v>No Due</v>
      </c>
      <c r="Z51" s="266">
        <v>0</v>
      </c>
      <c r="AA51" s="41">
        <v>0</v>
      </c>
      <c r="AB51" s="41">
        <v>0</v>
      </c>
      <c r="AC51" s="41">
        <v>0</v>
      </c>
      <c r="AD51" s="41">
        <v>0</v>
      </c>
      <c r="AE51" s="236">
        <f>SUM(Z51:AD51)</f>
        <v>0</v>
      </c>
      <c r="AF51" s="239">
        <f>J51-AE51</f>
        <v>800</v>
      </c>
      <c r="AG51" s="237">
        <f>AF51</f>
        <v>800</v>
      </c>
      <c r="AH51" s="237">
        <v>0</v>
      </c>
      <c r="AI51" s="237"/>
    </row>
    <row r="52" spans="1:35" ht="30" hidden="1" customHeight="1" x14ac:dyDescent="0.3">
      <c r="A52" s="3">
        <f>A51+1</f>
        <v>51</v>
      </c>
      <c r="B52" s="154" t="s">
        <v>181</v>
      </c>
      <c r="C52" s="46">
        <v>45803</v>
      </c>
      <c r="D52" s="171" t="s">
        <v>70</v>
      </c>
      <c r="E52" s="269" t="s">
        <v>269</v>
      </c>
      <c r="F52" s="171" t="s">
        <v>72</v>
      </c>
      <c r="G52" s="172">
        <v>24</v>
      </c>
      <c r="H52" s="8" t="s">
        <v>61</v>
      </c>
      <c r="I52" s="24" t="s">
        <v>275</v>
      </c>
      <c r="J52" s="45">
        <v>23385</v>
      </c>
      <c r="K52" s="173">
        <f>ROUND(IF(G52=36,J52*9%,0),0)</f>
        <v>0</v>
      </c>
      <c r="L52" s="40">
        <f>ROUND(IF(G52=36,J52*9%,0),0)</f>
        <v>0</v>
      </c>
      <c r="M52" s="40">
        <f>ROUND(IF(G52=36,J52*0%,J52*18%),0)</f>
        <v>4209</v>
      </c>
      <c r="N52" s="406">
        <f>J52+K52+L52+M52</f>
        <v>27594</v>
      </c>
      <c r="O52" s="21">
        <f>N52-Q52</f>
        <v>467.70000000000073</v>
      </c>
      <c r="P52" s="9">
        <f>O52/J52</f>
        <v>2.0000000000000032E-2</v>
      </c>
      <c r="Q52" s="23">
        <v>27126.3</v>
      </c>
      <c r="R52" s="5">
        <v>45814</v>
      </c>
      <c r="S52" s="6" t="s">
        <v>74</v>
      </c>
      <c r="T52" s="10" t="s">
        <v>75</v>
      </c>
      <c r="U52" s="66">
        <f>N52-O52-Q52</f>
        <v>0</v>
      </c>
      <c r="V52" s="8"/>
      <c r="W52" s="7" t="str">
        <f>IF(U52=0,"No Due","Outstanding")</f>
        <v>No Due</v>
      </c>
      <c r="Z52" s="266">
        <v>23385</v>
      </c>
      <c r="AA52" s="41">
        <v>0</v>
      </c>
      <c r="AB52" s="41">
        <v>0</v>
      </c>
      <c r="AC52" s="41">
        <v>0</v>
      </c>
      <c r="AD52" s="41">
        <v>0</v>
      </c>
      <c r="AE52" s="236">
        <f>SUM(Z52:AD52)</f>
        <v>23385</v>
      </c>
      <c r="AF52" s="239">
        <f>J52-AE52</f>
        <v>0</v>
      </c>
      <c r="AG52" s="237">
        <v>0</v>
      </c>
      <c r="AH52" s="237">
        <v>0</v>
      </c>
      <c r="AI52" s="237">
        <v>0</v>
      </c>
    </row>
    <row r="53" spans="1:35" ht="30" hidden="1" customHeight="1" x14ac:dyDescent="0.3">
      <c r="A53" s="3">
        <f>A52+1</f>
        <v>52</v>
      </c>
      <c r="B53" s="154" t="s">
        <v>181</v>
      </c>
      <c r="C53" s="46">
        <v>45803</v>
      </c>
      <c r="D53" s="146" t="s">
        <v>70</v>
      </c>
      <c r="E53" s="269" t="s">
        <v>281</v>
      </c>
      <c r="F53" s="146" t="s">
        <v>78</v>
      </c>
      <c r="G53" s="147">
        <v>36</v>
      </c>
      <c r="H53" s="8" t="s">
        <v>53</v>
      </c>
      <c r="I53" s="24" t="s">
        <v>282</v>
      </c>
      <c r="J53" s="45">
        <v>741263</v>
      </c>
      <c r="K53" s="148">
        <f>ROUND(IF(G53=36,J53*9%,0),0)</f>
        <v>66714</v>
      </c>
      <c r="L53" s="40">
        <f>ROUND(IF(G53=36,J53*9%,0),0)</f>
        <v>66714</v>
      </c>
      <c r="M53" s="40">
        <f>ROUND(IF(G53=36,J53*0%,J53*18%),0)</f>
        <v>0</v>
      </c>
      <c r="N53" s="406">
        <f>J53+K53+L53+M53</f>
        <v>874691</v>
      </c>
      <c r="O53" s="21">
        <f>N53-Q53</f>
        <v>1853.6600000000326</v>
      </c>
      <c r="P53" s="9">
        <f>O53/J53</f>
        <v>2.5006778970487298E-3</v>
      </c>
      <c r="Q53" s="23">
        <v>872837.34</v>
      </c>
      <c r="R53" s="5">
        <v>45810</v>
      </c>
      <c r="S53" s="6" t="s">
        <v>74</v>
      </c>
      <c r="T53" s="10" t="s">
        <v>80</v>
      </c>
      <c r="U53" s="66">
        <f>N53-O53-Q53</f>
        <v>0</v>
      </c>
      <c r="V53" s="8"/>
      <c r="W53" s="7" t="str">
        <f>IF(U53=0,"No Due","Outstanding")</f>
        <v>No Due</v>
      </c>
      <c r="Z53" s="266">
        <v>602870</v>
      </c>
      <c r="AA53" s="41">
        <v>108393</v>
      </c>
      <c r="AB53" s="41">
        <v>0</v>
      </c>
      <c r="AC53" s="41">
        <v>5350</v>
      </c>
      <c r="AD53" s="41">
        <v>0</v>
      </c>
      <c r="AE53" s="236">
        <f>SUM(Z53:AD53)</f>
        <v>716613</v>
      </c>
      <c r="AF53" s="239">
        <f>J53-AE53</f>
        <v>24650</v>
      </c>
      <c r="AG53" s="237">
        <f>AF53</f>
        <v>24650</v>
      </c>
      <c r="AH53" s="237">
        <v>0</v>
      </c>
      <c r="AI53" s="237"/>
    </row>
    <row r="54" spans="1:35" ht="30" hidden="1" customHeight="1" x14ac:dyDescent="0.3">
      <c r="A54" s="3">
        <f>A53+1</f>
        <v>53</v>
      </c>
      <c r="B54" s="154" t="s">
        <v>181</v>
      </c>
      <c r="C54" s="46">
        <v>45803</v>
      </c>
      <c r="D54" s="171" t="s">
        <v>70</v>
      </c>
      <c r="E54" s="269" t="s">
        <v>270</v>
      </c>
      <c r="F54" s="171" t="s">
        <v>110</v>
      </c>
      <c r="G54" s="172">
        <v>37</v>
      </c>
      <c r="H54" s="8" t="s">
        <v>59</v>
      </c>
      <c r="I54" s="24" t="s">
        <v>276</v>
      </c>
      <c r="J54" s="45">
        <v>31318</v>
      </c>
      <c r="K54" s="173">
        <f>ROUND(IF(G54=36,J54*9%,0),0)</f>
        <v>0</v>
      </c>
      <c r="L54" s="40">
        <f>ROUND(IF(G54=36,J54*9%,0),0)</f>
        <v>0</v>
      </c>
      <c r="M54" s="40">
        <f>ROUND(IF(G54=36,J54*0%,J54*18%),0)</f>
        <v>5637</v>
      </c>
      <c r="N54" s="406">
        <f>J54+K54+L54+M54</f>
        <v>36955</v>
      </c>
      <c r="O54" s="21">
        <f>N54-Q54</f>
        <v>77.349999999998545</v>
      </c>
      <c r="P54" s="9">
        <f>O54/J54</f>
        <v>2.469825659365175E-3</v>
      </c>
      <c r="Q54" s="23">
        <f>36877.65</f>
        <v>36877.65</v>
      </c>
      <c r="R54" s="5">
        <v>45819</v>
      </c>
      <c r="S54" s="6" t="s">
        <v>74</v>
      </c>
      <c r="T54" s="10" t="s">
        <v>248</v>
      </c>
      <c r="U54" s="66">
        <f>N54-O54-Q54</f>
        <v>0</v>
      </c>
      <c r="V54" s="8"/>
      <c r="W54" s="7" t="str">
        <f>IF(U54=0,"No Due","Outstanding")</f>
        <v>No Due</v>
      </c>
      <c r="Z54" s="266">
        <v>31318</v>
      </c>
      <c r="AA54" s="41">
        <v>0</v>
      </c>
      <c r="AB54" s="41">
        <v>0</v>
      </c>
      <c r="AC54" s="41">
        <v>0</v>
      </c>
      <c r="AD54" s="41">
        <v>0</v>
      </c>
      <c r="AE54" s="236">
        <f>SUM(Z54:AD54)</f>
        <v>31318</v>
      </c>
      <c r="AF54" s="239">
        <f>J54-AE54</f>
        <v>0</v>
      </c>
      <c r="AG54" s="237">
        <f>AF54</f>
        <v>0</v>
      </c>
      <c r="AH54" s="237">
        <v>0</v>
      </c>
      <c r="AI54" s="237"/>
    </row>
    <row r="55" spans="1:35" ht="30" hidden="1" customHeight="1" x14ac:dyDescent="0.3">
      <c r="A55" s="3">
        <f>A54+1</f>
        <v>54</v>
      </c>
      <c r="B55" s="154" t="s">
        <v>181</v>
      </c>
      <c r="C55" s="46">
        <v>45803</v>
      </c>
      <c r="D55" s="171" t="s">
        <v>70</v>
      </c>
      <c r="E55" s="269" t="s">
        <v>271</v>
      </c>
      <c r="F55" s="171" t="s">
        <v>110</v>
      </c>
      <c r="G55" s="172">
        <v>37</v>
      </c>
      <c r="H55" s="8" t="s">
        <v>59</v>
      </c>
      <c r="I55" s="24" t="s">
        <v>277</v>
      </c>
      <c r="J55" s="45">
        <v>28306</v>
      </c>
      <c r="K55" s="173">
        <f>ROUND(IF(G55=36,J55*9%,0),0)</f>
        <v>0</v>
      </c>
      <c r="L55" s="40">
        <f>ROUND(IF(G55=36,J55*9%,0),0)</f>
        <v>0</v>
      </c>
      <c r="M55" s="40">
        <f>ROUND(IF(G55=36,J55*0%,J55*18%),0)</f>
        <v>5095</v>
      </c>
      <c r="N55" s="406">
        <f>J55+K55+L55+M55</f>
        <v>33401</v>
      </c>
      <c r="O55" s="21">
        <f>N55-Q55</f>
        <v>71</v>
      </c>
      <c r="P55" s="9">
        <f>O55/J55</f>
        <v>2.508302126757578E-3</v>
      </c>
      <c r="Q55" s="23">
        <f>33330</f>
        <v>33330</v>
      </c>
      <c r="R55" s="5">
        <v>45819</v>
      </c>
      <c r="S55" s="6" t="s">
        <v>74</v>
      </c>
      <c r="T55" s="10" t="s">
        <v>248</v>
      </c>
      <c r="U55" s="66">
        <f>N55-O55-Q55</f>
        <v>0</v>
      </c>
      <c r="V55" s="8"/>
      <c r="W55" s="7" t="str">
        <f>IF(U55=0,"No Due","Outstanding")</f>
        <v>No Due</v>
      </c>
      <c r="Z55" s="266">
        <v>28306</v>
      </c>
      <c r="AA55" s="41">
        <v>0</v>
      </c>
      <c r="AB55" s="41">
        <v>0</v>
      </c>
      <c r="AC55" s="41">
        <v>0</v>
      </c>
      <c r="AD55" s="41">
        <v>0</v>
      </c>
      <c r="AE55" s="236">
        <f>SUM(Z55:AD55)</f>
        <v>28306</v>
      </c>
      <c r="AF55" s="239">
        <f>J55-AE55</f>
        <v>0</v>
      </c>
      <c r="AG55" s="237">
        <f>AF55</f>
        <v>0</v>
      </c>
      <c r="AH55" s="237">
        <v>0</v>
      </c>
      <c r="AI55" s="237"/>
    </row>
    <row r="56" spans="1:35" ht="30" hidden="1" customHeight="1" x14ac:dyDescent="0.3">
      <c r="A56" s="3">
        <f>A55+1</f>
        <v>55</v>
      </c>
      <c r="B56" s="154" t="s">
        <v>181</v>
      </c>
      <c r="C56" s="46">
        <v>45803</v>
      </c>
      <c r="D56" s="171" t="s">
        <v>70</v>
      </c>
      <c r="E56" s="269" t="s">
        <v>272</v>
      </c>
      <c r="F56" s="171" t="s">
        <v>99</v>
      </c>
      <c r="G56" s="172">
        <v>27</v>
      </c>
      <c r="H56" s="8" t="s">
        <v>62</v>
      </c>
      <c r="I56" s="24" t="s">
        <v>278</v>
      </c>
      <c r="J56" s="45">
        <v>93617.95</v>
      </c>
      <c r="K56" s="173">
        <f>ROUND(IF(G56=36,J56*9%,0),0)</f>
        <v>0</v>
      </c>
      <c r="L56" s="40">
        <f>ROUND(IF(G56=36,J56*9%,0),0)</f>
        <v>0</v>
      </c>
      <c r="M56" s="40">
        <f>ROUND(IF(G56=36,J56*0%,J56*18%),0)</f>
        <v>16851</v>
      </c>
      <c r="N56" s="406">
        <f>J56+K56+L56+M56</f>
        <v>110468.95</v>
      </c>
      <c r="O56" s="21">
        <f>N56-Q56</f>
        <v>233.72999999999593</v>
      </c>
      <c r="P56" s="9">
        <f>O56/J56</f>
        <v>2.4966365958664543E-3</v>
      </c>
      <c r="Q56" s="23">
        <v>110235.22</v>
      </c>
      <c r="R56" s="5">
        <v>45811</v>
      </c>
      <c r="S56" s="6" t="s">
        <v>74</v>
      </c>
      <c r="T56" s="10" t="s">
        <v>248</v>
      </c>
      <c r="U56" s="66">
        <f>N56-O56-Q56</f>
        <v>0</v>
      </c>
      <c r="V56" s="8"/>
      <c r="W56" s="7" t="str">
        <f>IF(U56=0,"No Due","Outstanding")</f>
        <v>No Due</v>
      </c>
      <c r="Z56" s="266">
        <v>93617.95</v>
      </c>
      <c r="AA56" s="41">
        <v>0</v>
      </c>
      <c r="AB56" s="41">
        <v>0</v>
      </c>
      <c r="AC56" s="41">
        <v>0</v>
      </c>
      <c r="AD56" s="41">
        <v>0</v>
      </c>
      <c r="AE56" s="236">
        <f>SUM(Z56:AD56)</f>
        <v>93617.95</v>
      </c>
      <c r="AF56" s="239">
        <f>J56-AE56</f>
        <v>0</v>
      </c>
      <c r="AG56" s="237">
        <f>AF56</f>
        <v>0</v>
      </c>
      <c r="AH56" s="237">
        <v>0</v>
      </c>
      <c r="AI56" s="237"/>
    </row>
    <row r="57" spans="1:35" ht="30" hidden="1" customHeight="1" x14ac:dyDescent="0.3">
      <c r="A57" s="3">
        <f>A56+1</f>
        <v>56</v>
      </c>
      <c r="B57" s="154" t="s">
        <v>181</v>
      </c>
      <c r="C57" s="46">
        <v>45803</v>
      </c>
      <c r="D57" s="171" t="s">
        <v>70</v>
      </c>
      <c r="E57" s="269" t="s">
        <v>273</v>
      </c>
      <c r="F57" s="171" t="s">
        <v>99</v>
      </c>
      <c r="G57" s="172">
        <v>27</v>
      </c>
      <c r="H57" s="8" t="s">
        <v>62</v>
      </c>
      <c r="I57" s="24" t="s">
        <v>279</v>
      </c>
      <c r="J57" s="45">
        <v>187868.22500000006</v>
      </c>
      <c r="K57" s="173">
        <f>ROUND(IF(G57=36,J57*9%,0),0)</f>
        <v>0</v>
      </c>
      <c r="L57" s="40">
        <f>ROUND(IF(G57=36,J57*9%,0),0)</f>
        <v>0</v>
      </c>
      <c r="M57" s="40">
        <f>ROUND(IF(G57=36,J57*0%,J57*18%),0)</f>
        <v>33816</v>
      </c>
      <c r="N57" s="406">
        <f>J57+K57+L57+M57</f>
        <v>221684.22500000006</v>
      </c>
      <c r="O57" s="21">
        <f>N57-Q57</f>
        <v>469.5350000000617</v>
      </c>
      <c r="P57" s="9">
        <f>O57/J57</f>
        <v>2.4992784170929467E-3</v>
      </c>
      <c r="Q57" s="23">
        <v>221214.69</v>
      </c>
      <c r="R57" s="5">
        <v>45811</v>
      </c>
      <c r="S57" s="6" t="s">
        <v>74</v>
      </c>
      <c r="T57" s="10" t="s">
        <v>248</v>
      </c>
      <c r="U57" s="66">
        <f>N57-O57-Q57</f>
        <v>0</v>
      </c>
      <c r="V57" s="8"/>
      <c r="W57" s="7" t="str">
        <f>IF(U57=0,"No Due","Outstanding")</f>
        <v>No Due</v>
      </c>
      <c r="Z57" s="266">
        <v>187868.22500000006</v>
      </c>
      <c r="AA57" s="41">
        <v>0</v>
      </c>
      <c r="AB57" s="41">
        <v>0</v>
      </c>
      <c r="AC57" s="41">
        <v>0</v>
      </c>
      <c r="AD57" s="41">
        <v>0</v>
      </c>
      <c r="AE57" s="236">
        <f>SUM(Z57:AD57)</f>
        <v>187868.22500000006</v>
      </c>
      <c r="AF57" s="239">
        <f>J57-AE57</f>
        <v>0</v>
      </c>
      <c r="AG57" s="237">
        <f>AF57</f>
        <v>0</v>
      </c>
      <c r="AH57" s="237">
        <v>0</v>
      </c>
      <c r="AI57" s="237"/>
    </row>
    <row r="58" spans="1:35" ht="30" hidden="1" customHeight="1" x14ac:dyDescent="0.3">
      <c r="A58" s="3">
        <f>A57+1</f>
        <v>57</v>
      </c>
      <c r="B58" s="154" t="s">
        <v>181</v>
      </c>
      <c r="C58" s="46">
        <v>45803</v>
      </c>
      <c r="D58" s="171" t="s">
        <v>70</v>
      </c>
      <c r="E58" s="269" t="s">
        <v>274</v>
      </c>
      <c r="F58" s="171" t="s">
        <v>115</v>
      </c>
      <c r="G58" s="172">
        <v>5</v>
      </c>
      <c r="H58" s="8" t="s">
        <v>63</v>
      </c>
      <c r="I58" s="24" t="s">
        <v>280</v>
      </c>
      <c r="J58" s="45">
        <v>34413</v>
      </c>
      <c r="K58" s="173">
        <f>ROUND(IF(G58=36,J58*9%,0),0)</f>
        <v>0</v>
      </c>
      <c r="L58" s="40">
        <f>ROUND(IF(G58=36,J58*9%,0),0)</f>
        <v>0</v>
      </c>
      <c r="M58" s="40">
        <f>ROUND(IF(G58=36,J58*0%,J58*18%),0)</f>
        <v>6194</v>
      </c>
      <c r="N58" s="406">
        <f>J58+K58+L58+M58</f>
        <v>40607</v>
      </c>
      <c r="O58" s="21">
        <f>N58-Q58</f>
        <v>688.5</v>
      </c>
      <c r="P58" s="9">
        <f>O58/J58</f>
        <v>2.000697410862174E-2</v>
      </c>
      <c r="Q58" s="23">
        <v>39918.5</v>
      </c>
      <c r="R58" s="5">
        <v>45811</v>
      </c>
      <c r="S58" s="6" t="s">
        <v>74</v>
      </c>
      <c r="T58" s="10" t="s">
        <v>248</v>
      </c>
      <c r="U58" s="66">
        <f>N58-O58-Q58</f>
        <v>0</v>
      </c>
      <c r="V58" s="8"/>
      <c r="W58" s="7" t="str">
        <f>IF(U58=0,"No Due","Outstanding")</f>
        <v>No Due</v>
      </c>
      <c r="Z58" s="266">
        <v>34413</v>
      </c>
      <c r="AA58" s="41">
        <v>0</v>
      </c>
      <c r="AB58" s="41">
        <v>0</v>
      </c>
      <c r="AC58" s="41">
        <v>0</v>
      </c>
      <c r="AD58" s="41">
        <v>0</v>
      </c>
      <c r="AE58" s="236">
        <f>SUM(Z58:AD58)</f>
        <v>34413</v>
      </c>
      <c r="AF58" s="239">
        <f>J58-AE58</f>
        <v>0</v>
      </c>
      <c r="AG58" s="237">
        <f>AF58</f>
        <v>0</v>
      </c>
      <c r="AH58" s="237">
        <v>0</v>
      </c>
      <c r="AI58" s="237"/>
    </row>
    <row r="59" spans="1:35" ht="30" customHeight="1" x14ac:dyDescent="0.3">
      <c r="A59" s="3">
        <f>A58+1</f>
        <v>58</v>
      </c>
      <c r="B59" s="154" t="s">
        <v>181</v>
      </c>
      <c r="C59" s="46">
        <v>45806</v>
      </c>
      <c r="D59" s="189" t="s">
        <v>288</v>
      </c>
      <c r="E59" s="269" t="s">
        <v>283</v>
      </c>
      <c r="F59" s="190" t="s">
        <v>289</v>
      </c>
      <c r="G59" s="138">
        <v>36</v>
      </c>
      <c r="H59" s="8" t="s">
        <v>287</v>
      </c>
      <c r="I59" s="24" t="s">
        <v>290</v>
      </c>
      <c r="J59" s="45">
        <v>103421.87</v>
      </c>
      <c r="K59" s="173">
        <f>ROUND(IF(G59=36,J59*9%,0),0)</f>
        <v>9308</v>
      </c>
      <c r="L59" s="40">
        <f>ROUND(IF(G59=36,J59*9%,0),0)</f>
        <v>9308</v>
      </c>
      <c r="M59" s="40">
        <f>ROUND(IF(G59=36,J59*0%,J59*18%),0)</f>
        <v>0</v>
      </c>
      <c r="N59" s="406">
        <f>J59+K59+L59+M59</f>
        <v>122037.87</v>
      </c>
      <c r="O59" s="21">
        <f>N59-Q59</f>
        <v>2068.4373999999953</v>
      </c>
      <c r="P59" s="9">
        <f>O59/J59</f>
        <v>1.9999999999999955E-2</v>
      </c>
      <c r="Q59" s="23">
        <f>N59-(J59*2%)</f>
        <v>119969.4326</v>
      </c>
      <c r="R59" s="5">
        <v>45814</v>
      </c>
      <c r="S59" s="6" t="s">
        <v>74</v>
      </c>
      <c r="T59" s="10" t="s">
        <v>322</v>
      </c>
      <c r="U59" s="66">
        <f>N59-O59-Q59</f>
        <v>0</v>
      </c>
      <c r="V59" s="8"/>
      <c r="W59" s="7" t="str">
        <f>IF(U59=0,"No Due","Outstanding")</f>
        <v>No Due</v>
      </c>
      <c r="Z59" s="266">
        <v>72617</v>
      </c>
      <c r="AA59" s="41">
        <v>20807</v>
      </c>
      <c r="AB59" s="41">
        <v>3337</v>
      </c>
      <c r="AC59" s="41">
        <v>0</v>
      </c>
      <c r="AD59" s="41">
        <v>0</v>
      </c>
      <c r="AE59" s="236">
        <f>SUM(Z59:AD59)</f>
        <v>96761</v>
      </c>
      <c r="AF59" s="239">
        <f>J59-AE59</f>
        <v>6660.8699999999953</v>
      </c>
      <c r="AG59" s="237">
        <f>AF59</f>
        <v>6660.8699999999953</v>
      </c>
      <c r="AH59" s="237">
        <v>0</v>
      </c>
      <c r="AI59" s="237"/>
    </row>
    <row r="60" spans="1:35" ht="30" customHeight="1" x14ac:dyDescent="0.3">
      <c r="A60" s="3">
        <f>A59+1</f>
        <v>59</v>
      </c>
      <c r="B60" s="154" t="s">
        <v>181</v>
      </c>
      <c r="C60" s="46">
        <v>45806</v>
      </c>
      <c r="D60" s="189" t="s">
        <v>288</v>
      </c>
      <c r="E60" s="269" t="s">
        <v>284</v>
      </c>
      <c r="F60" s="190" t="s">
        <v>289</v>
      </c>
      <c r="G60" s="138">
        <v>36</v>
      </c>
      <c r="H60" s="8" t="s">
        <v>287</v>
      </c>
      <c r="I60" s="24" t="s">
        <v>290</v>
      </c>
      <c r="J60" s="45">
        <v>92070.42</v>
      </c>
      <c r="K60" s="173">
        <f>ROUND(IF(G60=36,J60*9%,0),0)</f>
        <v>8286</v>
      </c>
      <c r="L60" s="40">
        <f>ROUND(IF(G60=36,J60*9%,0),0)</f>
        <v>8286</v>
      </c>
      <c r="M60" s="40">
        <f>ROUND(IF(G60=36,J60*0%,J60*18%),0)</f>
        <v>0</v>
      </c>
      <c r="N60" s="406">
        <f>J60+K60+L60+M60</f>
        <v>108642.42</v>
      </c>
      <c r="O60" s="21">
        <f>N60-Q60</f>
        <v>1841.4084000000003</v>
      </c>
      <c r="P60" s="9">
        <f>O60/J60</f>
        <v>2.0000000000000004E-2</v>
      </c>
      <c r="Q60" s="23">
        <f>N60-(J60*2%)</f>
        <v>106801.0116</v>
      </c>
      <c r="R60" s="5">
        <v>45814</v>
      </c>
      <c r="S60" s="6" t="s">
        <v>74</v>
      </c>
      <c r="T60" s="10" t="s">
        <v>322</v>
      </c>
      <c r="U60" s="66">
        <f>N60-O60-Q60</f>
        <v>0</v>
      </c>
      <c r="V60" s="8"/>
      <c r="W60" s="7" t="str">
        <f>IF(U60=0,"No Due","Outstanding")</f>
        <v>No Due</v>
      </c>
      <c r="Z60" s="266">
        <v>64642</v>
      </c>
      <c r="AA60" s="41">
        <v>18527</v>
      </c>
      <c r="AB60" s="41">
        <v>2973</v>
      </c>
      <c r="AC60" s="41">
        <v>0</v>
      </c>
      <c r="AD60" s="41">
        <v>0</v>
      </c>
      <c r="AE60" s="236">
        <f>SUM(Z60:AD60)</f>
        <v>86142</v>
      </c>
      <c r="AF60" s="239">
        <f>J60-AE60</f>
        <v>5928.4199999999983</v>
      </c>
      <c r="AG60" s="237">
        <f>AF60</f>
        <v>5928.4199999999983</v>
      </c>
      <c r="AH60" s="237">
        <v>0</v>
      </c>
      <c r="AI60" s="237"/>
    </row>
    <row r="61" spans="1:35" ht="30" customHeight="1" x14ac:dyDescent="0.3">
      <c r="A61" s="3">
        <f>A60+1</f>
        <v>60</v>
      </c>
      <c r="B61" s="154" t="s">
        <v>181</v>
      </c>
      <c r="C61" s="46">
        <v>45806</v>
      </c>
      <c r="D61" s="189" t="s">
        <v>288</v>
      </c>
      <c r="E61" s="269" t="s">
        <v>285</v>
      </c>
      <c r="F61" s="190" t="s">
        <v>289</v>
      </c>
      <c r="G61" s="138">
        <v>36</v>
      </c>
      <c r="H61" s="8" t="s">
        <v>287</v>
      </c>
      <c r="I61" s="24" t="s">
        <v>291</v>
      </c>
      <c r="J61" s="45">
        <v>34750</v>
      </c>
      <c r="K61" s="173">
        <f>ROUND(IF(G61=36,J61*9%,0),0)</f>
        <v>3128</v>
      </c>
      <c r="L61" s="40">
        <f>ROUND(IF(G61=36,J61*9%,0),0)</f>
        <v>3128</v>
      </c>
      <c r="M61" s="40">
        <f>ROUND(IF(G61=36,J61*0%,J61*18%),0)</f>
        <v>0</v>
      </c>
      <c r="N61" s="406">
        <f>J61+K61+L61+M61</f>
        <v>41006</v>
      </c>
      <c r="O61" s="21">
        <f>N61-Q61</f>
        <v>695</v>
      </c>
      <c r="P61" s="9">
        <f>O61/J61</f>
        <v>0.02</v>
      </c>
      <c r="Q61" s="23">
        <f>N61-(J61*2%)</f>
        <v>40311</v>
      </c>
      <c r="R61" s="5">
        <v>45814</v>
      </c>
      <c r="S61" s="6" t="s">
        <v>74</v>
      </c>
      <c r="T61" s="10" t="s">
        <v>322</v>
      </c>
      <c r="U61" s="66">
        <f>N61-O61-Q61</f>
        <v>0</v>
      </c>
      <c r="V61" s="8"/>
      <c r="W61" s="7" t="str">
        <f>IF(U61=0,"No Due","Outstanding")</f>
        <v>No Due</v>
      </c>
      <c r="Z61" s="266">
        <v>32177</v>
      </c>
      <c r="AA61" s="41">
        <v>0</v>
      </c>
      <c r="AB61" s="41">
        <v>0</v>
      </c>
      <c r="AC61" s="41">
        <v>0</v>
      </c>
      <c r="AD61" s="41">
        <v>0</v>
      </c>
      <c r="AE61" s="236">
        <f>SUM(Z61:AD61)</f>
        <v>32177</v>
      </c>
      <c r="AF61" s="239">
        <f>J61-AE61</f>
        <v>2573</v>
      </c>
      <c r="AG61" s="237">
        <f>AF61</f>
        <v>2573</v>
      </c>
      <c r="AH61" s="237">
        <v>0</v>
      </c>
      <c r="AI61" s="237"/>
    </row>
    <row r="62" spans="1:35" ht="30" customHeight="1" x14ac:dyDescent="0.3">
      <c r="A62" s="3">
        <f>A61+1</f>
        <v>61</v>
      </c>
      <c r="B62" s="154" t="s">
        <v>181</v>
      </c>
      <c r="C62" s="46">
        <v>45806</v>
      </c>
      <c r="D62" s="189" t="s">
        <v>288</v>
      </c>
      <c r="E62" s="269" t="s">
        <v>286</v>
      </c>
      <c r="F62" s="190" t="s">
        <v>289</v>
      </c>
      <c r="G62" s="138">
        <v>36</v>
      </c>
      <c r="H62" s="8" t="s">
        <v>287</v>
      </c>
      <c r="I62" s="24" t="s">
        <v>291</v>
      </c>
      <c r="J62" s="45">
        <v>20721</v>
      </c>
      <c r="K62" s="173">
        <f>ROUND(IF(G62=36,J62*9%,0),0)</f>
        <v>1865</v>
      </c>
      <c r="L62" s="40">
        <f>ROUND(IF(G62=36,J62*9%,0),0)</f>
        <v>1865</v>
      </c>
      <c r="M62" s="40">
        <f>ROUND(IF(G62=36,J62*0%,J62*18%),0)</f>
        <v>0</v>
      </c>
      <c r="N62" s="406">
        <f>J62+K62+L62+M62</f>
        <v>24451</v>
      </c>
      <c r="O62" s="21">
        <f>N62-Q62</f>
        <v>414.41999999999825</v>
      </c>
      <c r="P62" s="9">
        <f>O62/J62</f>
        <v>1.9999999999999917E-2</v>
      </c>
      <c r="Q62" s="23">
        <f>N62-(J62*2%)</f>
        <v>24036.58</v>
      </c>
      <c r="R62" s="5">
        <v>45814</v>
      </c>
      <c r="S62" s="6" t="s">
        <v>74</v>
      </c>
      <c r="T62" s="10" t="s">
        <v>322</v>
      </c>
      <c r="U62" s="66">
        <f>N62-O62-Q62</f>
        <v>0</v>
      </c>
      <c r="V62" s="8"/>
      <c r="W62" s="7" t="str">
        <f>IF(U62=0,"No Due","Outstanding")</f>
        <v>No Due</v>
      </c>
      <c r="Z62" s="266">
        <v>19184</v>
      </c>
      <c r="AA62" s="41">
        <v>0</v>
      </c>
      <c r="AB62" s="41">
        <v>0</v>
      </c>
      <c r="AC62" s="41">
        <v>0</v>
      </c>
      <c r="AD62" s="41">
        <v>0</v>
      </c>
      <c r="AE62" s="236">
        <f>SUM(Z62:AD62)</f>
        <v>19184</v>
      </c>
      <c r="AF62" s="239">
        <f>J62-AE62</f>
        <v>1537</v>
      </c>
      <c r="AG62" s="237">
        <f>AF62</f>
        <v>1537</v>
      </c>
      <c r="AH62" s="237">
        <v>0</v>
      </c>
      <c r="AI62" s="237"/>
    </row>
    <row r="63" spans="1:35" ht="30" hidden="1" customHeight="1" x14ac:dyDescent="0.3">
      <c r="A63" s="3">
        <f>A62+1</f>
        <v>62</v>
      </c>
      <c r="B63" s="154" t="s">
        <v>181</v>
      </c>
      <c r="C63" s="205">
        <v>45808</v>
      </c>
      <c r="D63" s="205" t="s">
        <v>70</v>
      </c>
      <c r="E63" s="269" t="s">
        <v>292</v>
      </c>
      <c r="F63" s="205" t="s">
        <v>87</v>
      </c>
      <c r="G63" s="206">
        <v>24</v>
      </c>
      <c r="H63" s="8" t="s">
        <v>53</v>
      </c>
      <c r="I63" s="24" t="s">
        <v>303</v>
      </c>
      <c r="J63" s="162">
        <v>22646980</v>
      </c>
      <c r="K63" s="41">
        <f>ROUND(IF(G63=36,J63*9%,0),0)</f>
        <v>0</v>
      </c>
      <c r="L63" s="201">
        <f>ROUND(IF(G63=36,J63*9%,0),0)</f>
        <v>0</v>
      </c>
      <c r="M63" s="40">
        <f>ROUND(IF(G63=36,J63*0%,J63*18%),0)</f>
        <v>4076456</v>
      </c>
      <c r="N63" s="406">
        <f>J63+K63+L63+M63</f>
        <v>26723436</v>
      </c>
      <c r="O63" s="21">
        <f>J63*0.25%</f>
        <v>56617.450000000004</v>
      </c>
      <c r="P63" s="9">
        <f>O63/J63</f>
        <v>2.5000000000000001E-3</v>
      </c>
      <c r="Q63" s="23">
        <f>22590362.55+4076456</f>
        <v>26666818.550000001</v>
      </c>
      <c r="R63" s="5">
        <v>45813</v>
      </c>
      <c r="S63" s="6" t="s">
        <v>74</v>
      </c>
      <c r="T63" s="10" t="s">
        <v>80</v>
      </c>
      <c r="U63" s="66">
        <f>N63-O63-Q63</f>
        <v>0</v>
      </c>
      <c r="V63" s="8" t="s">
        <v>327</v>
      </c>
      <c r="W63" s="7" t="str">
        <f>IF(U63=0,"No Due","Outstanding")</f>
        <v>No Due</v>
      </c>
      <c r="Z63" s="266">
        <v>18102634</v>
      </c>
      <c r="AA63" s="41">
        <v>3086775</v>
      </c>
      <c r="AB63" s="41">
        <v>0</v>
      </c>
      <c r="AC63" s="41">
        <v>155000</v>
      </c>
      <c r="AD63" s="41">
        <f>161221+21500</f>
        <v>182721</v>
      </c>
      <c r="AE63" s="236">
        <f>SUM(Z63:AD63)</f>
        <v>21527130</v>
      </c>
      <c r="AF63" s="239">
        <f>J63-AE63</f>
        <v>1119850</v>
      </c>
      <c r="AG63" s="237">
        <f>AF63</f>
        <v>1119850</v>
      </c>
      <c r="AH63" s="237">
        <v>0</v>
      </c>
      <c r="AI63" s="237"/>
    </row>
    <row r="64" spans="1:35" ht="30" hidden="1" customHeight="1" x14ac:dyDescent="0.3">
      <c r="A64" s="3">
        <f>A63+1</f>
        <v>63</v>
      </c>
      <c r="B64" s="154" t="s">
        <v>181</v>
      </c>
      <c r="C64" s="205">
        <v>45808</v>
      </c>
      <c r="D64" s="205" t="s">
        <v>70</v>
      </c>
      <c r="E64" s="269" t="s">
        <v>293</v>
      </c>
      <c r="F64" s="205" t="s">
        <v>94</v>
      </c>
      <c r="G64" s="206">
        <v>24</v>
      </c>
      <c r="H64" s="8" t="s">
        <v>50</v>
      </c>
      <c r="I64" s="24" t="s">
        <v>304</v>
      </c>
      <c r="J64" s="162">
        <v>17709959</v>
      </c>
      <c r="K64" s="41">
        <f>ROUND(IF(G64=36,J64*9%,0),0)</f>
        <v>0</v>
      </c>
      <c r="L64" s="201">
        <f>ROUND(IF(G64=36,J64*9%,0),0)</f>
        <v>0</v>
      </c>
      <c r="M64" s="40">
        <f>ROUND(IF(G64=36,J64*0%,J64*18%),0)</f>
        <v>3187793</v>
      </c>
      <c r="N64" s="406">
        <f>J64+K64+L64+M64</f>
        <v>20897752</v>
      </c>
      <c r="O64" s="21">
        <f>J64*2%</f>
        <v>354199.18</v>
      </c>
      <c r="P64" s="9">
        <f>O64/J64</f>
        <v>0.02</v>
      </c>
      <c r="Q64" s="23">
        <f>17355760.3+3187793</f>
        <v>20543553.300000001</v>
      </c>
      <c r="R64" s="5">
        <v>45814</v>
      </c>
      <c r="S64" s="6" t="s">
        <v>74</v>
      </c>
      <c r="T64" s="10" t="s">
        <v>96</v>
      </c>
      <c r="U64" s="66">
        <f>N64-O64-Q64</f>
        <v>-0.48000000044703484</v>
      </c>
      <c r="V64" s="8" t="s">
        <v>324</v>
      </c>
      <c r="W64" s="383" t="s">
        <v>811</v>
      </c>
      <c r="Z64" s="266">
        <v>14435076</v>
      </c>
      <c r="AA64" s="41">
        <v>2503929</v>
      </c>
      <c r="AB64" s="41">
        <v>0</v>
      </c>
      <c r="AC64" s="41">
        <v>118800</v>
      </c>
      <c r="AD64" s="41">
        <v>-288996</v>
      </c>
      <c r="AE64" s="236">
        <f>SUM(Z64:AD64)</f>
        <v>16768809</v>
      </c>
      <c r="AF64" s="239">
        <f>J64-AE64</f>
        <v>941150</v>
      </c>
      <c r="AG64" s="237">
        <f>AF64</f>
        <v>941150</v>
      </c>
      <c r="AH64" s="237">
        <v>0</v>
      </c>
      <c r="AI64" s="237"/>
    </row>
    <row r="65" spans="1:35" ht="30" hidden="1" customHeight="1" x14ac:dyDescent="0.3">
      <c r="A65" s="3">
        <f>A64+1</f>
        <v>64</v>
      </c>
      <c r="B65" s="154" t="s">
        <v>181</v>
      </c>
      <c r="C65" s="205">
        <v>45808</v>
      </c>
      <c r="D65" s="205" t="s">
        <v>70</v>
      </c>
      <c r="E65" s="269" t="s">
        <v>294</v>
      </c>
      <c r="F65" s="205" t="s">
        <v>105</v>
      </c>
      <c r="G65" s="206">
        <v>24</v>
      </c>
      <c r="H65" s="8" t="s">
        <v>60</v>
      </c>
      <c r="I65" s="24" t="s">
        <v>301</v>
      </c>
      <c r="J65" s="162">
        <v>2554948</v>
      </c>
      <c r="K65" s="41">
        <f>ROUND(IF(G65=36,J65*9%,0),0)</f>
        <v>0</v>
      </c>
      <c r="L65" s="201">
        <f>ROUND(IF(G65=36,J65*9%,0),0)</f>
        <v>0</v>
      </c>
      <c r="M65" s="201">
        <f>ROUND(IF(G65=36,J65*0%,J65*18%),0)</f>
        <v>459891</v>
      </c>
      <c r="N65" s="406">
        <f>J65+K65+L65+M65</f>
        <v>3014839</v>
      </c>
      <c r="O65" s="21">
        <f>N65-Q65</f>
        <v>51099.450000000186</v>
      </c>
      <c r="P65" s="9">
        <f>O65/J65</f>
        <v>2.000019178472524E-2</v>
      </c>
      <c r="Q65" s="23">
        <f>2503848.92+459890.63</f>
        <v>2963739.55</v>
      </c>
      <c r="R65" s="5">
        <v>45814</v>
      </c>
      <c r="S65" s="6" t="s">
        <v>74</v>
      </c>
      <c r="T65" s="10" t="s">
        <v>96</v>
      </c>
      <c r="U65" s="66">
        <f>N65-O65-Q65</f>
        <v>0</v>
      </c>
      <c r="V65" s="8" t="s">
        <v>328</v>
      </c>
      <c r="W65" s="7" t="str">
        <f>IF(U65=0,"No Due","Outstanding")</f>
        <v>No Due</v>
      </c>
      <c r="Z65" s="266">
        <v>2160779</v>
      </c>
      <c r="AA65" s="41">
        <v>364922</v>
      </c>
      <c r="AB65" s="41">
        <v>0</v>
      </c>
      <c r="AC65" s="41">
        <v>18600</v>
      </c>
      <c r="AD65" s="41">
        <v>-104003</v>
      </c>
      <c r="AE65" s="236">
        <f>SUM(Z65:AD65)</f>
        <v>2440298</v>
      </c>
      <c r="AF65" s="239">
        <f>J65-AE65</f>
        <v>114650</v>
      </c>
      <c r="AG65" s="237">
        <f>AF65</f>
        <v>114650</v>
      </c>
      <c r="AH65" s="237">
        <v>0</v>
      </c>
      <c r="AI65" s="237"/>
    </row>
    <row r="66" spans="1:35" ht="30" hidden="1" customHeight="1" x14ac:dyDescent="0.3">
      <c r="A66" s="3">
        <f>A65+1</f>
        <v>65</v>
      </c>
      <c r="B66" s="154" t="s">
        <v>181</v>
      </c>
      <c r="C66" s="205">
        <v>45808</v>
      </c>
      <c r="D66" s="205" t="s">
        <v>70</v>
      </c>
      <c r="E66" s="269" t="s">
        <v>295</v>
      </c>
      <c r="F66" s="205" t="s">
        <v>87</v>
      </c>
      <c r="G66" s="206">
        <v>24</v>
      </c>
      <c r="H66" s="8" t="s">
        <v>53</v>
      </c>
      <c r="I66" s="24" t="s">
        <v>302</v>
      </c>
      <c r="J66" s="162">
        <v>605646</v>
      </c>
      <c r="K66" s="41">
        <f>ROUND(IF(G66=36,J66*9%,0),0)</f>
        <v>0</v>
      </c>
      <c r="L66" s="201">
        <f>ROUND(IF(G66=36,J66*9%,0),0)</f>
        <v>0</v>
      </c>
      <c r="M66" s="40">
        <f>ROUND(IF(G66=36,J66*0%,J66*18%),0)</f>
        <v>109016</v>
      </c>
      <c r="N66" s="406">
        <f>J66+K66+L66+M66</f>
        <v>714662</v>
      </c>
      <c r="O66" s="21">
        <f>N66-Q66</f>
        <v>1513.7199999999721</v>
      </c>
      <c r="P66" s="9">
        <f>O66/J66</f>
        <v>2.4993478038325559E-3</v>
      </c>
      <c r="Q66" s="23">
        <f>713148.28</f>
        <v>713148.28</v>
      </c>
      <c r="R66" s="5">
        <v>45818</v>
      </c>
      <c r="S66" s="6" t="s">
        <v>74</v>
      </c>
      <c r="T66" s="10" t="s">
        <v>80</v>
      </c>
      <c r="U66" s="66">
        <f>N66-O66-Q66</f>
        <v>0</v>
      </c>
      <c r="V66" s="8"/>
      <c r="W66" s="7" t="str">
        <f>IF(U66=0,"No Due","Outstanding")</f>
        <v>No Due</v>
      </c>
      <c r="Z66" s="266">
        <v>485584</v>
      </c>
      <c r="AA66" s="41">
        <v>87462</v>
      </c>
      <c r="AB66" s="41">
        <v>0</v>
      </c>
      <c r="AC66" s="41">
        <v>5000</v>
      </c>
      <c r="AD66" s="41">
        <v>0</v>
      </c>
      <c r="AE66" s="236">
        <f>SUM(Z66:AD66)</f>
        <v>578046</v>
      </c>
      <c r="AF66" s="239">
        <f>J66-AE66</f>
        <v>27600</v>
      </c>
      <c r="AG66" s="237">
        <f>AF66</f>
        <v>27600</v>
      </c>
      <c r="AH66" s="237">
        <v>0</v>
      </c>
      <c r="AI66" s="237"/>
    </row>
    <row r="67" spans="1:35" ht="30" hidden="1" customHeight="1" x14ac:dyDescent="0.3">
      <c r="A67" s="3">
        <f>A66+1</f>
        <v>66</v>
      </c>
      <c r="B67" s="154" t="s">
        <v>181</v>
      </c>
      <c r="C67" s="205">
        <v>45808</v>
      </c>
      <c r="D67" s="205" t="s">
        <v>70</v>
      </c>
      <c r="E67" s="269" t="s">
        <v>296</v>
      </c>
      <c r="F67" s="205" t="s">
        <v>94</v>
      </c>
      <c r="G67" s="206">
        <v>24</v>
      </c>
      <c r="H67" s="8" t="s">
        <v>50</v>
      </c>
      <c r="I67" s="24" t="s">
        <v>314</v>
      </c>
      <c r="J67" s="162">
        <v>577065</v>
      </c>
      <c r="K67" s="148">
        <f>ROUND(IF(G67=36,J67*9%,0),0)</f>
        <v>0</v>
      </c>
      <c r="L67" s="40">
        <f>ROUND(IF(G67=36,J67*9%,0),0)</f>
        <v>0</v>
      </c>
      <c r="M67" s="40">
        <f>ROUND(IF(G67=36,J67*0%,J67*18%),0)</f>
        <v>103872</v>
      </c>
      <c r="N67" s="406">
        <f>J67+K67+L67+M67</f>
        <v>680937</v>
      </c>
      <c r="O67" s="21">
        <f>N67-Q67</f>
        <v>11541</v>
      </c>
      <c r="P67" s="9">
        <f>O67/J67</f>
        <v>1.999948012788854E-2</v>
      </c>
      <c r="Q67" s="23">
        <v>669396</v>
      </c>
      <c r="R67" s="5">
        <v>45817</v>
      </c>
      <c r="S67" s="6" t="s">
        <v>74</v>
      </c>
      <c r="T67" s="10" t="s">
        <v>96</v>
      </c>
      <c r="U67" s="66">
        <f>N67-O67-Q67</f>
        <v>0</v>
      </c>
      <c r="V67" s="8"/>
      <c r="W67" s="7" t="str">
        <f>IF(U67=0,"No Due","Outstanding")</f>
        <v>No Due</v>
      </c>
      <c r="Z67" s="266">
        <v>671937</v>
      </c>
      <c r="AA67" s="41">
        <v>92427</v>
      </c>
      <c r="AB67" s="41">
        <v>0</v>
      </c>
      <c r="AC67" s="41">
        <v>5200</v>
      </c>
      <c r="AD67" s="41">
        <v>0</v>
      </c>
      <c r="AE67" s="236">
        <f>SUM(Z67:AD67)</f>
        <v>769564</v>
      </c>
      <c r="AF67" s="239">
        <f>J67+J68-AE67</f>
        <v>22100</v>
      </c>
      <c r="AG67" s="237">
        <f>AF67</f>
        <v>22100</v>
      </c>
      <c r="AH67" s="237">
        <v>0</v>
      </c>
      <c r="AI67" s="237"/>
    </row>
    <row r="68" spans="1:35" ht="30" hidden="1" customHeight="1" x14ac:dyDescent="0.3">
      <c r="A68" s="3">
        <f>A67+1</f>
        <v>67</v>
      </c>
      <c r="B68" s="154" t="s">
        <v>181</v>
      </c>
      <c r="C68" s="205">
        <v>45808</v>
      </c>
      <c r="D68" s="205" t="s">
        <v>70</v>
      </c>
      <c r="E68" s="269" t="s">
        <v>312</v>
      </c>
      <c r="F68" s="205" t="s">
        <v>94</v>
      </c>
      <c r="G68" s="206">
        <v>24</v>
      </c>
      <c r="H68" s="8" t="s">
        <v>50</v>
      </c>
      <c r="I68" s="24" t="s">
        <v>313</v>
      </c>
      <c r="J68" s="162">
        <v>214599</v>
      </c>
      <c r="K68" s="148">
        <f>ROUND(IF(G68=36,J68*9%,0),0)</f>
        <v>0</v>
      </c>
      <c r="L68" s="40">
        <f>ROUND(IF(G68=36,J68*9%,0),0)</f>
        <v>0</v>
      </c>
      <c r="M68" s="40">
        <f>ROUND(IF(G68=36,J68*0%,J68*18%),0)</f>
        <v>38628</v>
      </c>
      <c r="N68" s="406">
        <f>J68+K68+L68+M68</f>
        <v>253227</v>
      </c>
      <c r="O68" s="21">
        <f>N68-Q68</f>
        <v>4292</v>
      </c>
      <c r="P68" s="9">
        <f>O68/J68</f>
        <v>2.0000093197079204E-2</v>
      </c>
      <c r="Q68" s="23">
        <f>38628+210307</f>
        <v>248935</v>
      </c>
      <c r="R68" s="217" t="s">
        <v>357</v>
      </c>
      <c r="S68" s="6" t="s">
        <v>74</v>
      </c>
      <c r="T68" s="10" t="s">
        <v>96</v>
      </c>
      <c r="U68" s="66">
        <f>N68-O68-Q68</f>
        <v>0</v>
      </c>
      <c r="V68" s="218" t="s">
        <v>358</v>
      </c>
      <c r="W68" s="7" t="str">
        <f>IF(U68=0,"No Due","Outstanding")</f>
        <v>No Due</v>
      </c>
      <c r="Z68" s="266">
        <v>0</v>
      </c>
      <c r="AA68" s="41">
        <v>0</v>
      </c>
      <c r="AB68" s="41">
        <v>0</v>
      </c>
      <c r="AC68" s="41">
        <v>0</v>
      </c>
      <c r="AD68" s="41">
        <v>0</v>
      </c>
      <c r="AE68" s="236">
        <f>SUM(Z68:AD68)</f>
        <v>0</v>
      </c>
      <c r="AF68" s="239">
        <v>0</v>
      </c>
      <c r="AG68" s="237">
        <f>AF68</f>
        <v>0</v>
      </c>
      <c r="AH68" s="237">
        <v>0</v>
      </c>
      <c r="AI68" s="237"/>
    </row>
    <row r="69" spans="1:35" ht="30" hidden="1" customHeight="1" x14ac:dyDescent="0.3">
      <c r="A69" s="3">
        <f>A68+1</f>
        <v>68</v>
      </c>
      <c r="B69" s="154" t="s">
        <v>181</v>
      </c>
      <c r="C69" s="205">
        <v>45808</v>
      </c>
      <c r="D69" s="205" t="s">
        <v>70</v>
      </c>
      <c r="E69" s="269" t="s">
        <v>297</v>
      </c>
      <c r="F69" s="205" t="s">
        <v>87</v>
      </c>
      <c r="G69" s="206">
        <v>24</v>
      </c>
      <c r="H69" s="8" t="s">
        <v>53</v>
      </c>
      <c r="I69" s="24" t="s">
        <v>299</v>
      </c>
      <c r="J69" s="162">
        <v>1232108</v>
      </c>
      <c r="K69" s="148">
        <f>ROUND(IF(G69=36,J69*9%,0),0)</f>
        <v>0</v>
      </c>
      <c r="L69" s="40">
        <f>ROUND(IF(G69=36,J69*9%,0),0)</f>
        <v>0</v>
      </c>
      <c r="M69" s="40">
        <f>ROUND(IF(G69=36,J69*0%,J69*18%),0)</f>
        <v>221779</v>
      </c>
      <c r="N69" s="406">
        <f>J69+K69+L69+M69</f>
        <v>1453887</v>
      </c>
      <c r="O69" s="233">
        <f>J69*0.25%</f>
        <v>3080.27</v>
      </c>
      <c r="P69" s="234">
        <f>O69/J69</f>
        <v>2.5000000000000001E-3</v>
      </c>
      <c r="Q69" s="41">
        <f>1229027.73+221779</f>
        <v>1450806.73</v>
      </c>
      <c r="R69" s="246" t="s">
        <v>489</v>
      </c>
      <c r="S69" s="6" t="s">
        <v>74</v>
      </c>
      <c r="T69" s="10" t="s">
        <v>80</v>
      </c>
      <c r="U69" s="66">
        <f>N69-O69-Q69</f>
        <v>0</v>
      </c>
      <c r="V69" s="8" t="s">
        <v>494</v>
      </c>
      <c r="W69" s="7" t="str">
        <f>IF(U69=0,"No Due","Outstanding")</f>
        <v>No Due</v>
      </c>
      <c r="Z69" s="266">
        <v>1044711</v>
      </c>
      <c r="AA69" s="41">
        <v>145397</v>
      </c>
      <c r="AB69" s="41">
        <v>0</v>
      </c>
      <c r="AC69" s="41">
        <v>8000</v>
      </c>
      <c r="AD69" s="41">
        <v>0</v>
      </c>
      <c r="AE69" s="236">
        <f>SUM(Z69:AD69)</f>
        <v>1198108</v>
      </c>
      <c r="AF69" s="239">
        <f>J69-AE69</f>
        <v>34000</v>
      </c>
      <c r="AG69" s="237">
        <f>AF69</f>
        <v>34000</v>
      </c>
      <c r="AH69" s="237">
        <v>0</v>
      </c>
      <c r="AI69" s="237"/>
    </row>
    <row r="70" spans="1:35" ht="30" hidden="1" customHeight="1" x14ac:dyDescent="0.3">
      <c r="A70" s="3">
        <f>A69+1</f>
        <v>69</v>
      </c>
      <c r="B70" s="154" t="s">
        <v>181</v>
      </c>
      <c r="C70" s="205">
        <v>45808</v>
      </c>
      <c r="D70" s="205" t="s">
        <v>70</v>
      </c>
      <c r="E70" s="269" t="s">
        <v>298</v>
      </c>
      <c r="F70" s="205" t="s">
        <v>87</v>
      </c>
      <c r="G70" s="206">
        <v>24</v>
      </c>
      <c r="H70" s="8" t="s">
        <v>53</v>
      </c>
      <c r="I70" s="24" t="s">
        <v>300</v>
      </c>
      <c r="J70" s="162">
        <v>182534</v>
      </c>
      <c r="K70" s="148">
        <f>ROUND(IF(G70=36,J70*9%,0),0)</f>
        <v>0</v>
      </c>
      <c r="L70" s="40">
        <f>ROUND(IF(G70=36,J70*9%,0),0)</f>
        <v>0</v>
      </c>
      <c r="M70" s="40">
        <f>ROUND(IF(G70=36,J70*0%,J70*18%),0)</f>
        <v>32856</v>
      </c>
      <c r="N70" s="406">
        <f>J70+K70+L70+M70</f>
        <v>215390</v>
      </c>
      <c r="O70" s="233">
        <v>455.73</v>
      </c>
      <c r="P70" s="234">
        <f>O70/J70</f>
        <v>2.4966855489936121E-3</v>
      </c>
      <c r="Q70" s="41">
        <v>214934.27</v>
      </c>
      <c r="R70" s="5">
        <v>45817</v>
      </c>
      <c r="S70" s="6" t="s">
        <v>74</v>
      </c>
      <c r="T70" s="10" t="s">
        <v>80</v>
      </c>
      <c r="U70" s="66">
        <f>N70-O70-Q70</f>
        <v>0</v>
      </c>
      <c r="V70" s="8"/>
      <c r="W70" s="7" t="str">
        <f>IF(U70=0,"No Due","Outstanding")</f>
        <v>No Due</v>
      </c>
      <c r="Z70" s="266">
        <v>150047</v>
      </c>
      <c r="AA70" s="41">
        <v>25137</v>
      </c>
      <c r="AB70" s="41">
        <v>0</v>
      </c>
      <c r="AC70" s="41">
        <v>1400</v>
      </c>
      <c r="AD70" s="41">
        <v>0</v>
      </c>
      <c r="AE70" s="236">
        <f>SUM(Z70:AD70)</f>
        <v>176584</v>
      </c>
      <c r="AF70" s="239">
        <f>J70-AE70</f>
        <v>5950</v>
      </c>
      <c r="AG70" s="237">
        <f>AF70</f>
        <v>5950</v>
      </c>
      <c r="AH70" s="237">
        <v>0</v>
      </c>
      <c r="AI70" s="237"/>
    </row>
    <row r="71" spans="1:35" ht="30" hidden="1" customHeight="1" x14ac:dyDescent="0.3">
      <c r="A71" s="3">
        <f>A70+1</f>
        <v>70</v>
      </c>
      <c r="B71" s="203" t="s">
        <v>305</v>
      </c>
      <c r="C71" s="46">
        <v>45811</v>
      </c>
      <c r="D71" s="164" t="s">
        <v>70</v>
      </c>
      <c r="E71" s="269" t="s">
        <v>306</v>
      </c>
      <c r="F71" s="164" t="s">
        <v>134</v>
      </c>
      <c r="G71" s="165">
        <v>10</v>
      </c>
      <c r="H71" s="8" t="s">
        <v>39</v>
      </c>
      <c r="I71" s="24" t="s">
        <v>308</v>
      </c>
      <c r="J71" s="45">
        <v>39001</v>
      </c>
      <c r="K71" s="166">
        <f>ROUND(IF(G71=36,J71*9%,0),0)</f>
        <v>0</v>
      </c>
      <c r="L71" s="40">
        <f>ROUND(IF(G71=36,J71*9%,0),0)</f>
        <v>0</v>
      </c>
      <c r="M71" s="40">
        <f>ROUND(IF(G71=36,J71*0%,J71*18%),0)</f>
        <v>7020</v>
      </c>
      <c r="N71" s="406">
        <f>J71+K71+L71+M71</f>
        <v>46021</v>
      </c>
      <c r="O71" s="21">
        <f>N71-Q71</f>
        <v>3901</v>
      </c>
      <c r="P71" s="9">
        <f>O71/J71</f>
        <v>0.10002307633137612</v>
      </c>
      <c r="Q71" s="23">
        <v>42120</v>
      </c>
      <c r="R71" s="5">
        <v>45834</v>
      </c>
      <c r="S71" s="6" t="s">
        <v>74</v>
      </c>
      <c r="T71" s="10" t="s">
        <v>136</v>
      </c>
      <c r="U71" s="66">
        <f>N71-O71-Q71</f>
        <v>0</v>
      </c>
      <c r="V71" s="8"/>
      <c r="W71" s="7" t="str">
        <f>IF(U71=0,"No Due","Outstanding")</f>
        <v>No Due</v>
      </c>
      <c r="Z71" s="266">
        <v>34201</v>
      </c>
      <c r="AA71" s="41">
        <v>3750</v>
      </c>
      <c r="AB71" s="41">
        <v>0</v>
      </c>
      <c r="AC71" s="41">
        <v>200</v>
      </c>
      <c r="AD71" s="41">
        <v>0</v>
      </c>
      <c r="AE71" s="236">
        <f>SUM(Z71:AD71)</f>
        <v>38151</v>
      </c>
      <c r="AF71" s="239">
        <f>J71-AE71</f>
        <v>850</v>
      </c>
      <c r="AG71" s="237">
        <f>AF71</f>
        <v>850</v>
      </c>
      <c r="AH71" s="237">
        <v>0</v>
      </c>
      <c r="AI71" s="237"/>
    </row>
    <row r="72" spans="1:35" ht="30" hidden="1" customHeight="1" x14ac:dyDescent="0.3">
      <c r="A72" s="3">
        <f>A71+1</f>
        <v>71</v>
      </c>
      <c r="B72" s="203" t="s">
        <v>305</v>
      </c>
      <c r="C72" s="46">
        <v>45811</v>
      </c>
      <c r="D72" s="164" t="s">
        <v>70</v>
      </c>
      <c r="E72" s="269" t="s">
        <v>307</v>
      </c>
      <c r="F72" s="164" t="s">
        <v>134</v>
      </c>
      <c r="G72" s="165">
        <v>10</v>
      </c>
      <c r="H72" s="8" t="s">
        <v>39</v>
      </c>
      <c r="I72" s="24" t="s">
        <v>308</v>
      </c>
      <c r="J72" s="45">
        <v>60709</v>
      </c>
      <c r="K72" s="166">
        <f>ROUND(IF(G72=36,J72*9%,0),0)</f>
        <v>0</v>
      </c>
      <c r="L72" s="40">
        <f>ROUND(IF(G72=36,J72*9%,0),0)</f>
        <v>0</v>
      </c>
      <c r="M72" s="40">
        <f>ROUND(IF(G72=36,J72*0%,J72*18%),0)</f>
        <v>10928</v>
      </c>
      <c r="N72" s="406">
        <f>J72+K72+L72+M72</f>
        <v>71637</v>
      </c>
      <c r="O72" s="21">
        <f>N72-Q72</f>
        <v>6071.3800000000047</v>
      </c>
      <c r="P72" s="9">
        <f>O72/J72</f>
        <v>0.10000790657068977</v>
      </c>
      <c r="Q72" s="23">
        <v>65565.62</v>
      </c>
      <c r="R72" s="5">
        <v>45834</v>
      </c>
      <c r="S72" s="6" t="s">
        <v>74</v>
      </c>
      <c r="T72" s="10" t="s">
        <v>136</v>
      </c>
      <c r="U72" s="66">
        <f>N72-O72-Q72</f>
        <v>0</v>
      </c>
      <c r="V72" s="8"/>
      <c r="W72" s="7" t="str">
        <f>IF(U72=0,"No Due","Outstanding")</f>
        <v>No Due</v>
      </c>
      <c r="Z72" s="266">
        <v>55909</v>
      </c>
      <c r="AA72" s="41">
        <v>3750</v>
      </c>
      <c r="AB72" s="41">
        <v>0</v>
      </c>
      <c r="AC72" s="41">
        <v>200</v>
      </c>
      <c r="AD72" s="41">
        <v>0</v>
      </c>
      <c r="AE72" s="236">
        <f>SUM(Z72:AD72)</f>
        <v>59859</v>
      </c>
      <c r="AF72" s="239">
        <f>J72-AE72</f>
        <v>850</v>
      </c>
      <c r="AG72" s="237">
        <f>AF72</f>
        <v>850</v>
      </c>
      <c r="AH72" s="237">
        <v>0</v>
      </c>
      <c r="AI72" s="237"/>
    </row>
    <row r="73" spans="1:35" ht="30" hidden="1" customHeight="1" x14ac:dyDescent="0.3">
      <c r="A73" s="3">
        <f>A72+1</f>
        <v>72</v>
      </c>
      <c r="B73" s="203" t="s">
        <v>305</v>
      </c>
      <c r="C73" s="46">
        <v>45811</v>
      </c>
      <c r="D73" s="46" t="s">
        <v>33</v>
      </c>
      <c r="E73" s="269" t="s">
        <v>309</v>
      </c>
      <c r="F73" s="42" t="s">
        <v>34</v>
      </c>
      <c r="G73" s="65">
        <v>36</v>
      </c>
      <c r="H73" s="8" t="s">
        <v>55</v>
      </c>
      <c r="I73" s="24" t="s">
        <v>311</v>
      </c>
      <c r="J73" s="45">
        <f>(72050*29)+(53350*1)+(99751*6)</f>
        <v>2741306</v>
      </c>
      <c r="K73" s="43">
        <f>ROUND(IF(G73=36,J73*9%,0),0)</f>
        <v>246718</v>
      </c>
      <c r="L73" s="40">
        <f>ROUND(IF(G73=36,J73*9%,0),0)</f>
        <v>246718</v>
      </c>
      <c r="M73" s="40">
        <f>ROUND(IF(G73=36,J73*0%,J73*18%),0)</f>
        <v>0</v>
      </c>
      <c r="N73" s="406">
        <f>J73+K73+L73+M73</f>
        <v>3234742</v>
      </c>
      <c r="O73" s="21">
        <f>N73-Q73</f>
        <v>6853.2650000001304</v>
      </c>
      <c r="P73" s="9">
        <f>O73/J73</f>
        <v>2.5000000000000478E-3</v>
      </c>
      <c r="Q73" s="23">
        <f>N73-(J73*0.25%)</f>
        <v>3227888.7349999999</v>
      </c>
      <c r="R73" s="5">
        <v>45842</v>
      </c>
      <c r="S73" s="6" t="s">
        <v>74</v>
      </c>
      <c r="T73" s="10" t="s">
        <v>124</v>
      </c>
      <c r="U73" s="66">
        <f>N73-O73-Q73</f>
        <v>0</v>
      </c>
      <c r="V73" s="8"/>
      <c r="W73" s="7" t="str">
        <f>IF(U73=0,"No Due","Outstanding")</f>
        <v>No Due</v>
      </c>
      <c r="Z73" s="266">
        <v>2027546</v>
      </c>
      <c r="AA73" s="41">
        <v>135000</v>
      </c>
      <c r="AB73" s="41">
        <v>0</v>
      </c>
      <c r="AC73" s="41">
        <v>7200</v>
      </c>
      <c r="AD73" s="41">
        <v>0</v>
      </c>
      <c r="AE73" s="236">
        <f>SUM(Z73:AD73)</f>
        <v>2169746</v>
      </c>
      <c r="AF73" s="239">
        <f>J73-AE73</f>
        <v>571560</v>
      </c>
      <c r="AG73" s="237">
        <f>AF73</f>
        <v>571560</v>
      </c>
      <c r="AH73" s="237">
        <v>0</v>
      </c>
      <c r="AI73" s="237"/>
    </row>
    <row r="74" spans="1:35" ht="30" hidden="1" customHeight="1" x14ac:dyDescent="0.3">
      <c r="A74" s="3">
        <f>A73+1</f>
        <v>73</v>
      </c>
      <c r="B74" s="203" t="s">
        <v>305</v>
      </c>
      <c r="C74" s="46">
        <v>45811</v>
      </c>
      <c r="D74" s="46" t="s">
        <v>33</v>
      </c>
      <c r="E74" s="269" t="s">
        <v>310</v>
      </c>
      <c r="F74" s="42" t="s">
        <v>34</v>
      </c>
      <c r="G74" s="65">
        <v>36</v>
      </c>
      <c r="H74" s="8" t="s">
        <v>55</v>
      </c>
      <c r="I74" s="24" t="s">
        <v>211</v>
      </c>
      <c r="J74" s="45">
        <v>18867</v>
      </c>
      <c r="K74" s="43">
        <f>ROUND(IF(G74=36,J74*9%,0),0)</f>
        <v>1698</v>
      </c>
      <c r="L74" s="40">
        <f>ROUND(IF(G74=36,J74*9%,0),0)</f>
        <v>1698</v>
      </c>
      <c r="M74" s="40">
        <f>ROUND(IF(G74=36,J74*0%,J74*18%),0)</f>
        <v>0</v>
      </c>
      <c r="N74" s="406">
        <f>J74+K74+L74+M74</f>
        <v>22263</v>
      </c>
      <c r="O74" s="21">
        <f>N74-Q74</f>
        <v>47</v>
      </c>
      <c r="P74" s="9">
        <f>O74/J74</f>
        <v>2.4911220649811842E-3</v>
      </c>
      <c r="Q74" s="23">
        <v>22216</v>
      </c>
      <c r="R74" s="5">
        <v>45849</v>
      </c>
      <c r="S74" s="6" t="s">
        <v>74</v>
      </c>
      <c r="T74" s="10" t="s">
        <v>124</v>
      </c>
      <c r="U74" s="66">
        <f>N74-O74-Q74</f>
        <v>0</v>
      </c>
      <c r="V74" s="8"/>
      <c r="W74" s="7" t="str">
        <f>IF(U74=0,"No Due","Outstanding")</f>
        <v>No Due</v>
      </c>
      <c r="Z74" s="266">
        <v>0</v>
      </c>
      <c r="AA74" s="41">
        <v>0</v>
      </c>
      <c r="AB74" s="41">
        <v>0</v>
      </c>
      <c r="AC74" s="41">
        <v>0</v>
      </c>
      <c r="AD74" s="41">
        <v>0</v>
      </c>
      <c r="AE74" s="236">
        <f>SUM(Z74:AD74)</f>
        <v>0</v>
      </c>
      <c r="AF74" s="239">
        <f>J74-AE74</f>
        <v>18867</v>
      </c>
      <c r="AG74" s="237">
        <f>AF74</f>
        <v>18867</v>
      </c>
      <c r="AH74" s="237">
        <v>0</v>
      </c>
      <c r="AI74" s="237"/>
    </row>
    <row r="75" spans="1:35" ht="30" hidden="1" customHeight="1" x14ac:dyDescent="0.3">
      <c r="A75" s="3">
        <f>A74+1</f>
        <v>74</v>
      </c>
      <c r="B75" s="203" t="s">
        <v>305</v>
      </c>
      <c r="C75" s="46">
        <v>45812</v>
      </c>
      <c r="D75" s="75" t="s">
        <v>70</v>
      </c>
      <c r="E75" s="269" t="s">
        <v>315</v>
      </c>
      <c r="F75" s="75" t="s">
        <v>72</v>
      </c>
      <c r="G75" s="76">
        <v>24</v>
      </c>
      <c r="H75" s="8" t="s">
        <v>61</v>
      </c>
      <c r="I75" s="24" t="s">
        <v>316</v>
      </c>
      <c r="J75" s="45">
        <v>268850</v>
      </c>
      <c r="K75" s="43">
        <f>ROUND(IF(G75=36,J75*9%,0),0)</f>
        <v>0</v>
      </c>
      <c r="L75" s="40">
        <f>ROUND(IF(G75=36,J75*9%,0),0)</f>
        <v>0</v>
      </c>
      <c r="M75" s="40">
        <f>ROUND(IF(G75=36,J75*0%,J75*18%),0)</f>
        <v>48393</v>
      </c>
      <c r="N75" s="406">
        <f>J75+K75+L75+M75</f>
        <v>317243</v>
      </c>
      <c r="O75" s="21">
        <v>5377</v>
      </c>
      <c r="P75" s="9">
        <f>O75/J75</f>
        <v>0.02</v>
      </c>
      <c r="Q75" s="23">
        <f>N75-M75-M75+48393+48393</f>
        <v>317243</v>
      </c>
      <c r="R75" s="5">
        <v>45829</v>
      </c>
      <c r="S75" s="6" t="s">
        <v>74</v>
      </c>
      <c r="T75" s="10" t="s">
        <v>75</v>
      </c>
      <c r="U75" s="66">
        <f>N75-O75-Q75</f>
        <v>-5377</v>
      </c>
      <c r="V75" s="8" t="s">
        <v>396</v>
      </c>
      <c r="W75" s="7" t="str">
        <f>IF(U75=0,"No Due","Outstanding")</f>
        <v>Outstanding</v>
      </c>
      <c r="Z75" s="266">
        <v>240654</v>
      </c>
      <c r="AA75" s="41">
        <v>21896</v>
      </c>
      <c r="AB75" s="41">
        <v>0</v>
      </c>
      <c r="AC75" s="41">
        <v>1200</v>
      </c>
      <c r="AD75" s="41">
        <v>0</v>
      </c>
      <c r="AE75" s="236">
        <f>SUM(Z75:AD75)</f>
        <v>263750</v>
      </c>
      <c r="AF75" s="239">
        <f>J75-AE75</f>
        <v>5100</v>
      </c>
      <c r="AG75" s="237">
        <f>AF75</f>
        <v>5100</v>
      </c>
      <c r="AH75" s="237">
        <v>0</v>
      </c>
      <c r="AI75" s="237"/>
    </row>
    <row r="76" spans="1:35" ht="30" hidden="1" customHeight="1" x14ac:dyDescent="0.3">
      <c r="A76" s="3">
        <f>A75+1</f>
        <v>75</v>
      </c>
      <c r="B76" s="203" t="s">
        <v>305</v>
      </c>
      <c r="C76" s="46">
        <v>45812</v>
      </c>
      <c r="D76" s="75" t="s">
        <v>70</v>
      </c>
      <c r="E76" s="269" t="s">
        <v>317</v>
      </c>
      <c r="F76" s="110" t="s">
        <v>126</v>
      </c>
      <c r="G76" s="65">
        <v>24</v>
      </c>
      <c r="H76" s="8" t="s">
        <v>125</v>
      </c>
      <c r="I76" s="24" t="s">
        <v>318</v>
      </c>
      <c r="J76" s="45">
        <v>4750097</v>
      </c>
      <c r="K76" s="43">
        <f>ROUND(IF(G76=36,J76*9%,0),0)</f>
        <v>0</v>
      </c>
      <c r="L76" s="40">
        <f>ROUND(IF(G76=36,J76*9%,0),0)</f>
        <v>0</v>
      </c>
      <c r="M76" s="40">
        <f>ROUND(IF(G76=36,J76*0%,J76*18%),0)</f>
        <v>855017</v>
      </c>
      <c r="N76" s="406">
        <f>J76+K76+L76+M76</f>
        <v>5605114</v>
      </c>
      <c r="O76" s="21">
        <f>N76-Q76</f>
        <v>11874.540000000037</v>
      </c>
      <c r="P76" s="9">
        <f>O76/J76</f>
        <v>2.4998521082832703E-3</v>
      </c>
      <c r="Q76" s="23">
        <v>5593239.46</v>
      </c>
      <c r="R76" s="5">
        <v>45815</v>
      </c>
      <c r="S76" s="6" t="s">
        <v>74</v>
      </c>
      <c r="T76" s="10" t="s">
        <v>136</v>
      </c>
      <c r="U76" s="66">
        <f>N76-O76-Q76</f>
        <v>0</v>
      </c>
      <c r="V76" s="8"/>
      <c r="W76" s="7" t="str">
        <f>IF(U76=0,"No Due","Outstanding")</f>
        <v>No Due</v>
      </c>
      <c r="Z76" s="266">
        <v>3740935</v>
      </c>
      <c r="AA76" s="41">
        <v>617712</v>
      </c>
      <c r="AB76" s="41">
        <v>0</v>
      </c>
      <c r="AC76" s="41">
        <v>29400</v>
      </c>
      <c r="AD76" s="41">
        <v>0</v>
      </c>
      <c r="AE76" s="236">
        <f>SUM(Z76:AD76)</f>
        <v>4388047</v>
      </c>
      <c r="AF76" s="239">
        <f>J76-AE76</f>
        <v>362050</v>
      </c>
      <c r="AG76" s="237">
        <f>AF76-AH76</f>
        <v>198050</v>
      </c>
      <c r="AH76" s="237">
        <v>164000</v>
      </c>
      <c r="AI76" s="237"/>
    </row>
    <row r="77" spans="1:35" ht="30" hidden="1" customHeight="1" x14ac:dyDescent="0.3">
      <c r="A77" s="3">
        <f>A76+1</f>
        <v>76</v>
      </c>
      <c r="B77" s="203" t="s">
        <v>305</v>
      </c>
      <c r="C77" s="46">
        <v>45815</v>
      </c>
      <c r="D77" s="60" t="s">
        <v>33</v>
      </c>
      <c r="E77" s="269" t="s">
        <v>329</v>
      </c>
      <c r="F77" s="60" t="s">
        <v>37</v>
      </c>
      <c r="G77" s="65">
        <v>36</v>
      </c>
      <c r="H77" s="8" t="s">
        <v>38</v>
      </c>
      <c r="I77" s="24" t="s">
        <v>330</v>
      </c>
      <c r="J77" s="45">
        <f>((109000*1)+133333+(158333*2))</f>
        <v>558999</v>
      </c>
      <c r="K77" s="43">
        <f>ROUND(IF(G77=36,J77*9%,0),0)</f>
        <v>50310</v>
      </c>
      <c r="L77" s="40">
        <f>ROUND(IF(G77=36,J77*9%,0),0)</f>
        <v>50310</v>
      </c>
      <c r="M77" s="40">
        <f>ROUND(IF(G77=36,J77*0%,J77*18%),0)</f>
        <v>0</v>
      </c>
      <c r="N77" s="406">
        <f>J77+K77+L77+M77</f>
        <v>659619</v>
      </c>
      <c r="O77" s="21">
        <f>N77-Q77</f>
        <v>55900</v>
      </c>
      <c r="P77" s="9">
        <f>O77/J77</f>
        <v>0.10000017889119658</v>
      </c>
      <c r="Q77" s="23">
        <v>603719</v>
      </c>
      <c r="R77" s="5">
        <v>45882</v>
      </c>
      <c r="S77" s="6" t="s">
        <v>74</v>
      </c>
      <c r="T77" s="10" t="s">
        <v>124</v>
      </c>
      <c r="U77" s="66">
        <f>N77-O77-Q77</f>
        <v>0</v>
      </c>
      <c r="V77" s="8"/>
      <c r="W77" s="7" t="str">
        <f>IF(U77=0,"No Due","Outstanding")</f>
        <v>No Due</v>
      </c>
      <c r="Z77" s="266">
        <v>468948</v>
      </c>
      <c r="AA77" s="41">
        <v>15000</v>
      </c>
      <c r="AB77" s="41">
        <v>0</v>
      </c>
      <c r="AC77" s="41">
        <v>800</v>
      </c>
      <c r="AD77" s="41">
        <v>0</v>
      </c>
      <c r="AE77" s="236">
        <f>SUM(Z77:AD77)</f>
        <v>484748</v>
      </c>
      <c r="AF77" s="239">
        <f>J77-AE77</f>
        <v>74251</v>
      </c>
      <c r="AG77" s="237">
        <f>AF77</f>
        <v>74251</v>
      </c>
      <c r="AH77" s="237">
        <v>0</v>
      </c>
      <c r="AI77" s="237"/>
    </row>
    <row r="78" spans="1:35" ht="30" hidden="1" customHeight="1" x14ac:dyDescent="0.3">
      <c r="A78" s="3">
        <f>A77+1</f>
        <v>77</v>
      </c>
      <c r="B78" s="203" t="s">
        <v>305</v>
      </c>
      <c r="C78" s="46">
        <v>45816</v>
      </c>
      <c r="D78" s="123" t="s">
        <v>70</v>
      </c>
      <c r="E78" s="269" t="s">
        <v>331</v>
      </c>
      <c r="F78" s="123" t="s">
        <v>142</v>
      </c>
      <c r="G78" s="124">
        <v>24</v>
      </c>
      <c r="H78" s="8" t="s">
        <v>46</v>
      </c>
      <c r="I78" s="24" t="s">
        <v>332</v>
      </c>
      <c r="J78" s="45">
        <v>336533</v>
      </c>
      <c r="K78" s="125">
        <f>ROUND(IF(G78=36,J78*9%,0),0)</f>
        <v>0</v>
      </c>
      <c r="L78" s="40">
        <f>ROUND(IF(G78=36,J78*9%,0),0)</f>
        <v>0</v>
      </c>
      <c r="M78" s="40">
        <f>ROUND(IF(G78=36,J78*0%,J78*18%),0)</f>
        <v>60576</v>
      </c>
      <c r="N78" s="406">
        <f>J78+K78+L78+M78</f>
        <v>397109</v>
      </c>
      <c r="O78" s="21">
        <f>J78*2%</f>
        <v>6730.66</v>
      </c>
      <c r="P78" s="9">
        <f>O78/J78</f>
        <v>0.02</v>
      </c>
      <c r="Q78" s="23">
        <f>N78-O78</f>
        <v>390378.34</v>
      </c>
      <c r="R78" s="5">
        <v>45849</v>
      </c>
      <c r="S78" s="6" t="s">
        <v>74</v>
      </c>
      <c r="T78" s="10" t="s">
        <v>96</v>
      </c>
      <c r="U78" s="66">
        <f>N78-O78-Q78</f>
        <v>0</v>
      </c>
      <c r="V78" s="8"/>
      <c r="W78" s="7" t="str">
        <f>IF(U78=0,"No Due","Outstanding")</f>
        <v>No Due</v>
      </c>
      <c r="Z78" s="266">
        <v>254000</v>
      </c>
      <c r="AA78" s="41">
        <v>18750</v>
      </c>
      <c r="AB78" s="41">
        <v>0</v>
      </c>
      <c r="AC78" s="41">
        <v>1000</v>
      </c>
      <c r="AD78" s="41">
        <v>0</v>
      </c>
      <c r="AE78" s="236">
        <f>SUM(Z78:AD78)</f>
        <v>273750</v>
      </c>
      <c r="AF78" s="239">
        <f>J78-AE78</f>
        <v>62783</v>
      </c>
      <c r="AG78" s="237">
        <f>AF78</f>
        <v>62783</v>
      </c>
      <c r="AH78" s="237">
        <v>0</v>
      </c>
      <c r="AI78" s="237"/>
    </row>
    <row r="79" spans="1:35" ht="30" hidden="1" customHeight="1" x14ac:dyDescent="0.3">
      <c r="A79" s="3">
        <f>A78+1</f>
        <v>78</v>
      </c>
      <c r="B79" s="203" t="s">
        <v>305</v>
      </c>
      <c r="C79" s="222">
        <v>45821</v>
      </c>
      <c r="D79" s="222" t="s">
        <v>70</v>
      </c>
      <c r="E79" s="280" t="s">
        <v>370</v>
      </c>
      <c r="F79" s="222" t="s">
        <v>142</v>
      </c>
      <c r="G79" s="223">
        <v>24</v>
      </c>
      <c r="H79" s="8" t="s">
        <v>46</v>
      </c>
      <c r="I79" s="24" t="s">
        <v>371</v>
      </c>
      <c r="J79" s="45">
        <v>-59800</v>
      </c>
      <c r="K79" s="224">
        <f>ROUND(IF(G79=36,J79*9%,0),0)</f>
        <v>0</v>
      </c>
      <c r="L79" s="40">
        <f>ROUND(IF(G79=36,J79*9%,0),0)</f>
        <v>0</v>
      </c>
      <c r="M79" s="40">
        <f>ROUND(IF(G79=36,J79*0%,J79*18%),0)</f>
        <v>-10764</v>
      </c>
      <c r="N79" s="406">
        <f>J79+K79+L79+M79</f>
        <v>-70564</v>
      </c>
      <c r="O79" s="21">
        <f>J79*2%</f>
        <v>-1196</v>
      </c>
      <c r="P79" s="9">
        <f>O79/J79</f>
        <v>0.02</v>
      </c>
      <c r="Q79" s="23">
        <f>N79-O79</f>
        <v>-69368</v>
      </c>
      <c r="R79" s="5">
        <v>45849</v>
      </c>
      <c r="S79" s="6" t="s">
        <v>74</v>
      </c>
      <c r="T79" s="10" t="s">
        <v>96</v>
      </c>
      <c r="U79" s="66">
        <f>N79-O79-Q79</f>
        <v>0</v>
      </c>
      <c r="V79" s="8"/>
      <c r="W79" s="7" t="str">
        <f>IF(U79=0,"No Due","Outstanding")</f>
        <v>No Due</v>
      </c>
      <c r="Z79" s="266">
        <f>-59800+2117</f>
        <v>-57683</v>
      </c>
      <c r="AA79" s="41">
        <v>0</v>
      </c>
      <c r="AB79" s="41">
        <v>0</v>
      </c>
      <c r="AC79" s="41">
        <v>0</v>
      </c>
      <c r="AD79" s="41">
        <v>0</v>
      </c>
      <c r="AE79" s="236">
        <f>SUM(Z79:AD79)</f>
        <v>-57683</v>
      </c>
      <c r="AF79" s="239">
        <v>-57683</v>
      </c>
      <c r="AG79" s="237">
        <v>-57683</v>
      </c>
      <c r="AH79" s="237">
        <v>0</v>
      </c>
      <c r="AI79" s="237"/>
    </row>
    <row r="80" spans="1:35" ht="30" hidden="1" customHeight="1" x14ac:dyDescent="0.3">
      <c r="A80" s="3">
        <f>A79+1</f>
        <v>79</v>
      </c>
      <c r="B80" s="203" t="s">
        <v>305</v>
      </c>
      <c r="C80" s="46">
        <v>45817</v>
      </c>
      <c r="D80" s="171" t="s">
        <v>70</v>
      </c>
      <c r="E80" s="269" t="s">
        <v>333</v>
      </c>
      <c r="F80" s="171" t="s">
        <v>72</v>
      </c>
      <c r="G80" s="172">
        <v>24</v>
      </c>
      <c r="H80" s="8" t="s">
        <v>61</v>
      </c>
      <c r="I80" s="24" t="s">
        <v>340</v>
      </c>
      <c r="J80" s="45">
        <v>2283917</v>
      </c>
      <c r="K80" s="173">
        <f>ROUND(IF(G80=36,J80*9%,0),0)</f>
        <v>0</v>
      </c>
      <c r="L80" s="40">
        <f>ROUND(IF(G80=36,J80*9%,0),0)</f>
        <v>0</v>
      </c>
      <c r="M80" s="40">
        <f>ROUND(IF(G80=36,J80*0%,J80*18%),0)</f>
        <v>411105</v>
      </c>
      <c r="N80" s="406">
        <f>J80+K80+L80+M80</f>
        <v>2695022</v>
      </c>
      <c r="O80" s="21">
        <f>N80-Q80</f>
        <v>45677.870000000112</v>
      </c>
      <c r="P80" s="9">
        <f>O80/J80</f>
        <v>1.9999794213187306E-2</v>
      </c>
      <c r="Q80" s="23">
        <f>2649344.13</f>
        <v>2649344.13</v>
      </c>
      <c r="R80" s="5">
        <v>45820</v>
      </c>
      <c r="S80" s="6" t="s">
        <v>74</v>
      </c>
      <c r="T80" s="10" t="s">
        <v>248</v>
      </c>
      <c r="U80" s="66">
        <f>N80-O80-Q80</f>
        <v>0</v>
      </c>
      <c r="V80" s="8"/>
      <c r="W80" s="7" t="str">
        <f>IF(U80=0,"No Due","Outstanding")</f>
        <v>No Due</v>
      </c>
      <c r="Z80" s="266">
        <v>1937430</v>
      </c>
      <c r="AA80" s="41">
        <v>263401</v>
      </c>
      <c r="AB80" s="41">
        <v>7780.6400000000012</v>
      </c>
      <c r="AC80" s="41">
        <v>11550</v>
      </c>
      <c r="AD80" s="41">
        <v>0</v>
      </c>
      <c r="AE80" s="236">
        <f>SUM(Z80:AD80)</f>
        <v>2220161.64</v>
      </c>
      <c r="AF80" s="239">
        <f>J80-AE80</f>
        <v>63755.35999999987</v>
      </c>
      <c r="AG80" s="237">
        <f>AF80</f>
        <v>63755.35999999987</v>
      </c>
      <c r="AH80" s="237">
        <v>0</v>
      </c>
      <c r="AI80" s="237" t="s">
        <v>399</v>
      </c>
    </row>
    <row r="81" spans="1:35" ht="30" hidden="1" customHeight="1" x14ac:dyDescent="0.3">
      <c r="A81" s="3">
        <f>A80+1</f>
        <v>80</v>
      </c>
      <c r="B81" s="203" t="s">
        <v>305</v>
      </c>
      <c r="C81" s="46">
        <v>45817</v>
      </c>
      <c r="D81" s="171" t="s">
        <v>70</v>
      </c>
      <c r="E81" s="269" t="s">
        <v>334</v>
      </c>
      <c r="F81" s="171" t="s">
        <v>110</v>
      </c>
      <c r="G81" s="172">
        <v>37</v>
      </c>
      <c r="H81" s="8" t="s">
        <v>59</v>
      </c>
      <c r="I81" s="24" t="s">
        <v>341</v>
      </c>
      <c r="J81" s="45">
        <v>2673323</v>
      </c>
      <c r="K81" s="173">
        <f>ROUND(IF(G81=36,J81*9%,0),0)</f>
        <v>0</v>
      </c>
      <c r="L81" s="40">
        <f>ROUND(IF(G81=36,J81*9%,0),0)</f>
        <v>0</v>
      </c>
      <c r="M81" s="40">
        <f>ROUND(IF(G81=36,J81*0%,J81*18%),0)</f>
        <v>481198</v>
      </c>
      <c r="N81" s="406">
        <f>J81+K81+L81+M81</f>
        <v>3154521</v>
      </c>
      <c r="O81" s="21">
        <f>N81-Q81</f>
        <v>6682.8599999998696</v>
      </c>
      <c r="P81" s="9">
        <f>O81/J81</f>
        <v>2.4998326053379521E-3</v>
      </c>
      <c r="Q81" s="23">
        <f>3147838.14</f>
        <v>3147838.14</v>
      </c>
      <c r="R81" s="5">
        <v>45820</v>
      </c>
      <c r="S81" s="6" t="s">
        <v>74</v>
      </c>
      <c r="T81" s="10" t="s">
        <v>248</v>
      </c>
      <c r="U81" s="66">
        <f>N81-O81-Q81</f>
        <v>0</v>
      </c>
      <c r="V81" s="8"/>
      <c r="W81" s="7" t="str">
        <f>IF(U81=0,"No Due","Outstanding")</f>
        <v>No Due</v>
      </c>
      <c r="Z81" s="266">
        <v>2173520</v>
      </c>
      <c r="AA81" s="41">
        <v>285542</v>
      </c>
      <c r="AB81" s="41">
        <v>34912.639999999999</v>
      </c>
      <c r="AC81" s="41">
        <v>11050</v>
      </c>
      <c r="AD81" s="41">
        <v>0</v>
      </c>
      <c r="AE81" s="236">
        <f>SUM(Z81:AD81)</f>
        <v>2505024.64</v>
      </c>
      <c r="AF81" s="239">
        <f>J81-AE81</f>
        <v>168298.35999999987</v>
      </c>
      <c r="AG81" s="237">
        <f>AF81</f>
        <v>168298.35999999987</v>
      </c>
      <c r="AH81" s="237">
        <v>0</v>
      </c>
      <c r="AI81" s="237"/>
    </row>
    <row r="82" spans="1:35" ht="30" hidden="1" customHeight="1" x14ac:dyDescent="0.3">
      <c r="A82" s="3">
        <f>A81+1</f>
        <v>81</v>
      </c>
      <c r="B82" s="203" t="s">
        <v>305</v>
      </c>
      <c r="C82" s="46">
        <v>45817</v>
      </c>
      <c r="D82" s="171" t="s">
        <v>70</v>
      </c>
      <c r="E82" s="269" t="s">
        <v>335</v>
      </c>
      <c r="F82" s="171" t="s">
        <v>110</v>
      </c>
      <c r="G82" s="172">
        <v>37</v>
      </c>
      <c r="H82" s="8" t="s">
        <v>59</v>
      </c>
      <c r="I82" s="24" t="s">
        <v>342</v>
      </c>
      <c r="J82" s="45">
        <v>2421776</v>
      </c>
      <c r="K82" s="173">
        <f>ROUND(IF(G82=36,J82*9%,0),0)</f>
        <v>0</v>
      </c>
      <c r="L82" s="40">
        <f>ROUND(IF(G82=36,J82*9%,0),0)</f>
        <v>0</v>
      </c>
      <c r="M82" s="40">
        <f>ROUND(IF(G82=36,J82*0%,J82*18%),0)</f>
        <v>435920</v>
      </c>
      <c r="N82" s="406">
        <f>J82+K82+L82+M82</f>
        <v>2857696</v>
      </c>
      <c r="O82" s="21">
        <f>N82-Q82</f>
        <v>6054.3199999998324</v>
      </c>
      <c r="P82" s="9">
        <f>O82/J82</f>
        <v>2.4999504495873408E-3</v>
      </c>
      <c r="Q82" s="23">
        <f>2851641.68</f>
        <v>2851641.68</v>
      </c>
      <c r="R82" s="5">
        <v>45820</v>
      </c>
      <c r="S82" s="6" t="s">
        <v>74</v>
      </c>
      <c r="T82" s="10" t="s">
        <v>248</v>
      </c>
      <c r="U82" s="66">
        <f>N82-O82-Q82</f>
        <v>0</v>
      </c>
      <c r="V82" s="8"/>
      <c r="W82" s="7" t="str">
        <f>IF(U82=0,"No Due","Outstanding")</f>
        <v>No Due</v>
      </c>
      <c r="Z82" s="266">
        <v>2073142</v>
      </c>
      <c r="AA82" s="41">
        <v>269207</v>
      </c>
      <c r="AB82" s="41">
        <v>1725.0800000000004</v>
      </c>
      <c r="AC82" s="41">
        <v>13950</v>
      </c>
      <c r="AD82" s="41">
        <v>0</v>
      </c>
      <c r="AE82" s="236">
        <f>SUM(Z82:AD82)</f>
        <v>2358024.08</v>
      </c>
      <c r="AF82" s="239">
        <f>J82-AE82</f>
        <v>63751.919999999925</v>
      </c>
      <c r="AG82" s="237">
        <f>AF82</f>
        <v>63751.919999999925</v>
      </c>
      <c r="AH82" s="237">
        <v>0</v>
      </c>
      <c r="AI82" s="237"/>
    </row>
    <row r="83" spans="1:35" ht="30" hidden="1" customHeight="1" x14ac:dyDescent="0.3">
      <c r="A83" s="3">
        <f>A82+1</f>
        <v>82</v>
      </c>
      <c r="B83" s="203" t="s">
        <v>305</v>
      </c>
      <c r="C83" s="46">
        <v>45817</v>
      </c>
      <c r="D83" s="171" t="s">
        <v>70</v>
      </c>
      <c r="E83" s="269" t="s">
        <v>336</v>
      </c>
      <c r="F83" s="171" t="s">
        <v>110</v>
      </c>
      <c r="G83" s="172">
        <v>37</v>
      </c>
      <c r="H83" s="8" t="s">
        <v>59</v>
      </c>
      <c r="I83" s="24" t="s">
        <v>343</v>
      </c>
      <c r="J83" s="45">
        <v>7877937</v>
      </c>
      <c r="K83" s="173">
        <f>ROUND(IF(G83=36,J83*9%,0),0)</f>
        <v>0</v>
      </c>
      <c r="L83" s="40">
        <f>ROUND(IF(G83=36,J83*9%,0),0)</f>
        <v>0</v>
      </c>
      <c r="M83" s="40">
        <f>ROUND(IF(G83=36,J83*0%,J83*18%),0)</f>
        <v>1418029</v>
      </c>
      <c r="N83" s="406">
        <f>J83+K83+L83+M83</f>
        <v>9295966</v>
      </c>
      <c r="O83" s="21">
        <f>N83-Q83</f>
        <v>19695.339999999851</v>
      </c>
      <c r="P83" s="9">
        <f>O83/J83</f>
        <v>2.500063151050821E-3</v>
      </c>
      <c r="Q83" s="23">
        <f>9276270.66</f>
        <v>9276270.6600000001</v>
      </c>
      <c r="R83" s="5">
        <v>45820</v>
      </c>
      <c r="S83" s="6" t="s">
        <v>74</v>
      </c>
      <c r="T83" s="10" t="s">
        <v>248</v>
      </c>
      <c r="U83" s="66">
        <f>N83-O83-Q83</f>
        <v>0</v>
      </c>
      <c r="V83" s="8"/>
      <c r="W83" s="7" t="str">
        <f>IF(U83=0,"No Due","Outstanding")</f>
        <v>No Due</v>
      </c>
      <c r="Z83" s="266">
        <v>6512486</v>
      </c>
      <c r="AA83" s="41">
        <v>971059</v>
      </c>
      <c r="AB83" s="41">
        <v>113453.03999999992</v>
      </c>
      <c r="AC83" s="41">
        <v>32625</v>
      </c>
      <c r="AD83" s="41">
        <v>-85735</v>
      </c>
      <c r="AE83" s="236">
        <f>SUM(Z83:AD83)</f>
        <v>7543888.04</v>
      </c>
      <c r="AF83" s="239">
        <f>J83-AE83</f>
        <v>334048.95999999996</v>
      </c>
      <c r="AG83" s="237">
        <f>AF83</f>
        <v>334048.95999999996</v>
      </c>
      <c r="AH83" s="237">
        <v>0</v>
      </c>
      <c r="AI83" s="237"/>
    </row>
    <row r="84" spans="1:35" ht="30" hidden="1" customHeight="1" x14ac:dyDescent="0.3">
      <c r="A84" s="3">
        <f>A83+1</f>
        <v>83</v>
      </c>
      <c r="B84" s="203" t="s">
        <v>305</v>
      </c>
      <c r="C84" s="46">
        <v>45817</v>
      </c>
      <c r="D84" s="171" t="s">
        <v>70</v>
      </c>
      <c r="E84" s="269" t="s">
        <v>337</v>
      </c>
      <c r="F84" s="171" t="s">
        <v>99</v>
      </c>
      <c r="G84" s="172">
        <v>27</v>
      </c>
      <c r="H84" s="8" t="s">
        <v>62</v>
      </c>
      <c r="I84" s="24" t="s">
        <v>344</v>
      </c>
      <c r="J84" s="45">
        <v>626508</v>
      </c>
      <c r="K84" s="173">
        <f>ROUND(IF(G84=36,J84*9%,0),0)</f>
        <v>0</v>
      </c>
      <c r="L84" s="40">
        <f>ROUND(IF(G84=36,J84*9%,0),0)</f>
        <v>0</v>
      </c>
      <c r="M84" s="40">
        <f>ROUND(IF(G84=36,J84*0%,J84*18%),0)</f>
        <v>112771</v>
      </c>
      <c r="N84" s="406">
        <f>J84+K84+L84+M84</f>
        <v>739279</v>
      </c>
      <c r="O84" s="21">
        <f>N84-Q84</f>
        <v>1565.3199999999488</v>
      </c>
      <c r="P84" s="9">
        <f>O84/J84</f>
        <v>2.4984836586283794E-3</v>
      </c>
      <c r="Q84" s="23">
        <f>737713.68</f>
        <v>737713.68</v>
      </c>
      <c r="R84" s="5">
        <v>45819</v>
      </c>
      <c r="S84" s="6" t="s">
        <v>74</v>
      </c>
      <c r="T84" s="10" t="s">
        <v>248</v>
      </c>
      <c r="U84" s="66">
        <f>N84-O84-Q84</f>
        <v>0</v>
      </c>
      <c r="V84" s="8"/>
      <c r="W84" s="7" t="str">
        <f>IF(U84=0,"No Due","Outstanding")</f>
        <v>No Due</v>
      </c>
      <c r="Z84" s="266">
        <v>513081</v>
      </c>
      <c r="AA84" s="41">
        <v>80464</v>
      </c>
      <c r="AB84" s="41">
        <v>2614.0400000000004</v>
      </c>
      <c r="AC84" s="41">
        <v>4000</v>
      </c>
      <c r="AD84" s="41">
        <v>0</v>
      </c>
      <c r="AE84" s="236">
        <f>SUM(Z84:AD84)</f>
        <v>600159.04</v>
      </c>
      <c r="AF84" s="239">
        <f>J84-AE84</f>
        <v>26348.959999999963</v>
      </c>
      <c r="AG84" s="237">
        <f>AF84</f>
        <v>26348.959999999963</v>
      </c>
      <c r="AH84" s="237">
        <v>0</v>
      </c>
      <c r="AI84" s="237"/>
    </row>
    <row r="85" spans="1:35" ht="30" hidden="1" customHeight="1" x14ac:dyDescent="0.3">
      <c r="A85" s="3">
        <f>A84+1</f>
        <v>84</v>
      </c>
      <c r="B85" s="203" t="s">
        <v>305</v>
      </c>
      <c r="C85" s="46">
        <v>45817</v>
      </c>
      <c r="D85" s="171" t="s">
        <v>70</v>
      </c>
      <c r="E85" s="269" t="s">
        <v>338</v>
      </c>
      <c r="F85" s="171" t="s">
        <v>99</v>
      </c>
      <c r="G85" s="172">
        <v>27</v>
      </c>
      <c r="H85" s="8" t="s">
        <v>62</v>
      </c>
      <c r="I85" s="24" t="s">
        <v>345</v>
      </c>
      <c r="J85" s="45">
        <v>912451</v>
      </c>
      <c r="K85" s="173">
        <f>ROUND(IF(G85=36,J85*9%,0),0)</f>
        <v>0</v>
      </c>
      <c r="L85" s="40">
        <f>ROUND(IF(G85=36,J85*9%,0),0)</f>
        <v>0</v>
      </c>
      <c r="M85" s="40">
        <f>ROUND(IF(G85=36,J85*0%,J85*18%),0)</f>
        <v>164241</v>
      </c>
      <c r="N85" s="406">
        <f>J85+K85+L85+M85</f>
        <v>1076692</v>
      </c>
      <c r="O85" s="21">
        <f>N85-Q85</f>
        <v>2280.8100000000559</v>
      </c>
      <c r="P85" s="9">
        <f>O85/J85</f>
        <v>2.4996520361093974E-3</v>
      </c>
      <c r="Q85" s="23">
        <f>1074411.19</f>
        <v>1074411.19</v>
      </c>
      <c r="R85" s="5">
        <v>45819</v>
      </c>
      <c r="S85" s="6" t="s">
        <v>74</v>
      </c>
      <c r="T85" s="10" t="s">
        <v>248</v>
      </c>
      <c r="U85" s="66">
        <f>N85-O85-Q85</f>
        <v>0</v>
      </c>
      <c r="V85" s="8"/>
      <c r="W85" s="7" t="str">
        <f>IF(U85=0,"No Due","Outstanding")</f>
        <v>No Due</v>
      </c>
      <c r="Z85" s="266">
        <v>770671</v>
      </c>
      <c r="AA85" s="41">
        <v>103581</v>
      </c>
      <c r="AB85" s="41">
        <v>2449.4</v>
      </c>
      <c r="AC85" s="41">
        <v>6000</v>
      </c>
      <c r="AD85" s="41">
        <v>0</v>
      </c>
      <c r="AE85" s="236">
        <f>SUM(Z85:AD85)</f>
        <v>882701.4</v>
      </c>
      <c r="AF85" s="239">
        <f>J85-AE85</f>
        <v>29749.599999999977</v>
      </c>
      <c r="AG85" s="237">
        <f>AF85</f>
        <v>29749.599999999977</v>
      </c>
      <c r="AH85" s="237">
        <v>0</v>
      </c>
      <c r="AI85" s="237"/>
    </row>
    <row r="86" spans="1:35" ht="30" hidden="1" customHeight="1" x14ac:dyDescent="0.3">
      <c r="A86" s="3">
        <f>A85+1</f>
        <v>85</v>
      </c>
      <c r="B86" s="203" t="s">
        <v>305</v>
      </c>
      <c r="C86" s="46">
        <v>45817</v>
      </c>
      <c r="D86" s="171" t="s">
        <v>70</v>
      </c>
      <c r="E86" s="269" t="s">
        <v>339</v>
      </c>
      <c r="F86" s="171" t="s">
        <v>115</v>
      </c>
      <c r="G86" s="172">
        <v>5</v>
      </c>
      <c r="H86" s="8" t="s">
        <v>63</v>
      </c>
      <c r="I86" s="24" t="s">
        <v>346</v>
      </c>
      <c r="J86" s="45">
        <v>1442142</v>
      </c>
      <c r="K86" s="173">
        <f>ROUND(IF(G86=36,J86*9%,0),0)</f>
        <v>0</v>
      </c>
      <c r="L86" s="40">
        <f>ROUND(IF(G86=36,J86*9%,0),0)</f>
        <v>0</v>
      </c>
      <c r="M86" s="40">
        <f>ROUND(IF(G86=36,J86*0%,J86*18%),0)</f>
        <v>259586</v>
      </c>
      <c r="N86" s="406">
        <f>J86+K86+L86+M86</f>
        <v>1701728</v>
      </c>
      <c r="O86" s="21">
        <f>N86-Q86</f>
        <v>3605.5600000000559</v>
      </c>
      <c r="P86" s="9">
        <f>O86/J86</f>
        <v>2.5001421496635254E-3</v>
      </c>
      <c r="Q86" s="23">
        <f>1698122.44</f>
        <v>1698122.44</v>
      </c>
      <c r="R86" s="5">
        <v>45819</v>
      </c>
      <c r="S86" s="6" t="s">
        <v>74</v>
      </c>
      <c r="T86" s="10" t="s">
        <v>248</v>
      </c>
      <c r="U86" s="66">
        <f>N86-O86-Q86</f>
        <v>0</v>
      </c>
      <c r="V86" s="8"/>
      <c r="W86" s="7" t="str">
        <f>IF(U86=0,"No Due","Outstanding")</f>
        <v>No Due</v>
      </c>
      <c r="Z86" s="266">
        <v>1124724</v>
      </c>
      <c r="AA86" s="41">
        <v>179612</v>
      </c>
      <c r="AB86" s="41">
        <v>48958.680000000015</v>
      </c>
      <c r="AC86" s="41">
        <v>3850</v>
      </c>
      <c r="AD86" s="41">
        <v>0</v>
      </c>
      <c r="AE86" s="236">
        <f>SUM(Z86:AD86)</f>
        <v>1357144.68</v>
      </c>
      <c r="AF86" s="239">
        <f>J86-AE86</f>
        <v>84997.320000000065</v>
      </c>
      <c r="AG86" s="237">
        <f>AF86</f>
        <v>84997.320000000065</v>
      </c>
      <c r="AH86" s="237">
        <v>0</v>
      </c>
      <c r="AI86" s="237"/>
    </row>
    <row r="87" spans="1:35" ht="30" hidden="1" customHeight="1" x14ac:dyDescent="0.3">
      <c r="A87" s="3">
        <f>A86+1</f>
        <v>86</v>
      </c>
      <c r="B87" s="203" t="s">
        <v>305</v>
      </c>
      <c r="C87" s="46">
        <v>45817</v>
      </c>
      <c r="D87" s="171" t="s">
        <v>70</v>
      </c>
      <c r="E87" s="269" t="s">
        <v>347</v>
      </c>
      <c r="F87" s="171" t="s">
        <v>110</v>
      </c>
      <c r="G87" s="172">
        <v>37</v>
      </c>
      <c r="H87" s="8" t="s">
        <v>59</v>
      </c>
      <c r="I87" s="24" t="s">
        <v>351</v>
      </c>
      <c r="J87" s="45">
        <v>2392568</v>
      </c>
      <c r="K87" s="173">
        <f>ROUND(IF(G87=36,J87*9%,0),0)</f>
        <v>0</v>
      </c>
      <c r="L87" s="40">
        <f>ROUND(IF(G87=36,J87*9%,0),0)</f>
        <v>0</v>
      </c>
      <c r="M87" s="40">
        <f>ROUND(IF(G87=36,J87*0%,J87*18%),0)</f>
        <v>430662</v>
      </c>
      <c r="N87" s="406">
        <f>J87+K87+L87+M87</f>
        <v>2823230</v>
      </c>
      <c r="O87" s="21">
        <f>N87-Q87</f>
        <v>5980.7599999997765</v>
      </c>
      <c r="P87" s="9">
        <f>O87/J87</f>
        <v>2.4997241457713122E-3</v>
      </c>
      <c r="Q87" s="23">
        <f>2817249.24</f>
        <v>2817249.24</v>
      </c>
      <c r="R87" s="5">
        <v>45820</v>
      </c>
      <c r="S87" s="6" t="s">
        <v>74</v>
      </c>
      <c r="T87" s="10" t="s">
        <v>248</v>
      </c>
      <c r="U87" s="66">
        <f>N87-O87-Q87</f>
        <v>0</v>
      </c>
      <c r="V87" s="8"/>
      <c r="W87" s="7" t="str">
        <f>IF(U87=0,"No Due","Outstanding")</f>
        <v>No Due</v>
      </c>
      <c r="Z87" s="266">
        <v>2271868</v>
      </c>
      <c r="AA87" s="41">
        <v>0</v>
      </c>
      <c r="AB87" s="41">
        <v>0</v>
      </c>
      <c r="AC87" s="41">
        <v>0</v>
      </c>
      <c r="AD87" s="41">
        <v>0</v>
      </c>
      <c r="AE87" s="236">
        <f>SUM(Z87:AD87)</f>
        <v>2271868</v>
      </c>
      <c r="AF87" s="239">
        <f>J87-AE87</f>
        <v>120700</v>
      </c>
      <c r="AG87" s="237">
        <f>AF87</f>
        <v>120700</v>
      </c>
      <c r="AH87" s="237">
        <v>0</v>
      </c>
      <c r="AI87" s="237"/>
    </row>
    <row r="88" spans="1:35" ht="30" hidden="1" customHeight="1" x14ac:dyDescent="0.3">
      <c r="A88" s="3">
        <f>A87+1</f>
        <v>87</v>
      </c>
      <c r="B88" s="203" t="s">
        <v>305</v>
      </c>
      <c r="C88" s="46">
        <v>45817</v>
      </c>
      <c r="D88" s="171" t="s">
        <v>70</v>
      </c>
      <c r="E88" s="269" t="s">
        <v>348</v>
      </c>
      <c r="F88" s="171" t="s">
        <v>110</v>
      </c>
      <c r="G88" s="172">
        <v>37</v>
      </c>
      <c r="H88" s="8" t="s">
        <v>59</v>
      </c>
      <c r="I88" s="24" t="s">
        <v>352</v>
      </c>
      <c r="J88" s="45">
        <v>2116048</v>
      </c>
      <c r="K88" s="173">
        <f>ROUND(IF(G88=36,J88*9%,0),0)</f>
        <v>0</v>
      </c>
      <c r="L88" s="40">
        <f>ROUND(IF(G88=36,J88*9%,0),0)</f>
        <v>0</v>
      </c>
      <c r="M88" s="40">
        <f>ROUND(IF(G88=36,J88*0%,J88*18%),0)</f>
        <v>380889</v>
      </c>
      <c r="N88" s="406">
        <f>J88+K88+L88+M88</f>
        <v>2496937</v>
      </c>
      <c r="O88" s="21">
        <f>N88-Q88</f>
        <v>5290.3599999998696</v>
      </c>
      <c r="P88" s="9">
        <f>O88/J88</f>
        <v>2.5001134189772014E-3</v>
      </c>
      <c r="Q88" s="23">
        <f>2491646.64</f>
        <v>2491646.64</v>
      </c>
      <c r="R88" s="5">
        <v>45820</v>
      </c>
      <c r="S88" s="6" t="s">
        <v>74</v>
      </c>
      <c r="T88" s="10" t="s">
        <v>248</v>
      </c>
      <c r="U88" s="66">
        <f>N88-O88-Q88</f>
        <v>0</v>
      </c>
      <c r="V88" s="8"/>
      <c r="W88" s="7" t="str">
        <f>IF(U88=0,"No Due","Outstanding")</f>
        <v>No Due</v>
      </c>
      <c r="Z88" s="266">
        <v>1906948</v>
      </c>
      <c r="AA88" s="41">
        <v>0</v>
      </c>
      <c r="AB88" s="41">
        <v>0</v>
      </c>
      <c r="AC88" s="41">
        <v>0</v>
      </c>
      <c r="AD88" s="41">
        <v>0</v>
      </c>
      <c r="AE88" s="236">
        <f>SUM(Z88:AD88)</f>
        <v>1906948</v>
      </c>
      <c r="AF88" s="239">
        <f>J88-AE88</f>
        <v>209100</v>
      </c>
      <c r="AG88" s="237">
        <f>AF88</f>
        <v>209100</v>
      </c>
      <c r="AH88" s="237">
        <v>0</v>
      </c>
      <c r="AI88" s="237"/>
    </row>
    <row r="89" spans="1:35" ht="30" hidden="1" customHeight="1" x14ac:dyDescent="0.3">
      <c r="A89" s="3">
        <f>A88+1</f>
        <v>88</v>
      </c>
      <c r="B89" s="203" t="s">
        <v>305</v>
      </c>
      <c r="C89" s="46">
        <v>45817</v>
      </c>
      <c r="D89" s="171" t="s">
        <v>70</v>
      </c>
      <c r="E89" s="269" t="s">
        <v>349</v>
      </c>
      <c r="F89" s="171" t="s">
        <v>110</v>
      </c>
      <c r="G89" s="172">
        <v>37</v>
      </c>
      <c r="H89" s="8" t="s">
        <v>59</v>
      </c>
      <c r="I89" s="24" t="s">
        <v>353</v>
      </c>
      <c r="J89" s="45">
        <v>710725</v>
      </c>
      <c r="K89" s="173">
        <f>ROUND(IF(G89=36,J89*9%,0),0)</f>
        <v>0</v>
      </c>
      <c r="L89" s="40">
        <f>ROUND(IF(G89=36,J89*9%,0),0)</f>
        <v>0</v>
      </c>
      <c r="M89" s="40">
        <f>ROUND(IF(G89=36,J89*0%,J89*18%),0)</f>
        <v>127931</v>
      </c>
      <c r="N89" s="406">
        <f>J89+K89+L89+M89</f>
        <v>838656</v>
      </c>
      <c r="O89" s="21">
        <f>N89-Q89</f>
        <v>1777.0100000000093</v>
      </c>
      <c r="P89" s="9">
        <f>O89/J89</f>
        <v>2.5002778852580244E-3</v>
      </c>
      <c r="Q89" s="23">
        <f>836878.99</f>
        <v>836878.99</v>
      </c>
      <c r="R89" s="5">
        <v>45819</v>
      </c>
      <c r="S89" s="6" t="s">
        <v>74</v>
      </c>
      <c r="T89" s="10" t="s">
        <v>248</v>
      </c>
      <c r="U89" s="66">
        <f>N89-O89-Q89</f>
        <v>0</v>
      </c>
      <c r="V89" s="8"/>
      <c r="W89" s="7" t="str">
        <f>IF(U89=0,"No Due","Outstanding")</f>
        <v>No Due</v>
      </c>
      <c r="Z89" s="266">
        <v>672475</v>
      </c>
      <c r="AA89" s="41">
        <v>0</v>
      </c>
      <c r="AB89" s="41">
        <v>0</v>
      </c>
      <c r="AC89" s="41">
        <v>0</v>
      </c>
      <c r="AD89" s="41">
        <v>0</v>
      </c>
      <c r="AE89" s="236">
        <f>SUM(Z89:AD89)</f>
        <v>672475</v>
      </c>
      <c r="AF89" s="239">
        <f>J89-AE89</f>
        <v>38250</v>
      </c>
      <c r="AG89" s="237">
        <f>AF89</f>
        <v>38250</v>
      </c>
      <c r="AH89" s="237">
        <v>0</v>
      </c>
      <c r="AI89" s="237"/>
    </row>
    <row r="90" spans="1:35" ht="30" hidden="1" customHeight="1" x14ac:dyDescent="0.3">
      <c r="A90" s="3">
        <f>A89+1</f>
        <v>89</v>
      </c>
      <c r="B90" s="203" t="s">
        <v>305</v>
      </c>
      <c r="C90" s="46">
        <v>45817</v>
      </c>
      <c r="D90" s="171" t="s">
        <v>70</v>
      </c>
      <c r="E90" s="269" t="s">
        <v>350</v>
      </c>
      <c r="F90" s="171" t="s">
        <v>115</v>
      </c>
      <c r="G90" s="172">
        <v>5</v>
      </c>
      <c r="H90" s="8" t="s">
        <v>63</v>
      </c>
      <c r="I90" s="24" t="s">
        <v>354</v>
      </c>
      <c r="J90" s="45">
        <v>154655</v>
      </c>
      <c r="K90" s="173">
        <f>ROUND(IF(G90=36,J90*9%,0),0)</f>
        <v>0</v>
      </c>
      <c r="L90" s="40">
        <f>ROUND(IF(G90=36,J90*9%,0),0)</f>
        <v>0</v>
      </c>
      <c r="M90" s="40">
        <f>ROUND(IF(G90=36,J90*0%,J90*18%),0)</f>
        <v>27838</v>
      </c>
      <c r="N90" s="406">
        <f>J90+K90+L90+M90</f>
        <v>182493</v>
      </c>
      <c r="O90" s="21">
        <f>N90-Q90</f>
        <v>386.98000000001048</v>
      </c>
      <c r="P90" s="9">
        <f>O90/J90</f>
        <v>2.5022146067053149E-3</v>
      </c>
      <c r="Q90" s="23">
        <v>182106.02</v>
      </c>
      <c r="R90" s="5">
        <v>45819</v>
      </c>
      <c r="S90" s="6" t="s">
        <v>74</v>
      </c>
      <c r="T90" s="10" t="s">
        <v>248</v>
      </c>
      <c r="U90" s="66">
        <f>N90-O90-Q90</f>
        <v>0</v>
      </c>
      <c r="V90" s="8"/>
      <c r="W90" s="7" t="str">
        <f>IF(U90=0,"No Due","Outstanding")</f>
        <v>No Due</v>
      </c>
      <c r="Z90" s="266">
        <v>146155</v>
      </c>
      <c r="AA90" s="41">
        <v>0</v>
      </c>
      <c r="AB90" s="41">
        <v>0</v>
      </c>
      <c r="AC90" s="41">
        <v>0</v>
      </c>
      <c r="AD90" s="41">
        <v>0</v>
      </c>
      <c r="AE90" s="236">
        <f>SUM(Z90:AD90)</f>
        <v>146155</v>
      </c>
      <c r="AF90" s="239">
        <f>J90-AE90</f>
        <v>8500</v>
      </c>
      <c r="AG90" s="237">
        <f>AF90</f>
        <v>8500</v>
      </c>
      <c r="AH90" s="237">
        <v>0</v>
      </c>
      <c r="AI90" s="237"/>
    </row>
    <row r="91" spans="1:35" ht="30" hidden="1" customHeight="1" x14ac:dyDescent="0.3">
      <c r="A91" s="3">
        <f>A90+1</f>
        <v>90</v>
      </c>
      <c r="B91" s="203" t="s">
        <v>305</v>
      </c>
      <c r="C91" s="46">
        <v>45819</v>
      </c>
      <c r="D91" s="167" t="s">
        <v>70</v>
      </c>
      <c r="E91" s="269" t="s">
        <v>359</v>
      </c>
      <c r="F91" s="167" t="s">
        <v>138</v>
      </c>
      <c r="G91" s="168">
        <v>36</v>
      </c>
      <c r="H91" s="8" t="s">
        <v>49</v>
      </c>
      <c r="I91" s="24" t="s">
        <v>364</v>
      </c>
      <c r="J91" s="45">
        <v>22858504</v>
      </c>
      <c r="K91" s="169">
        <f>ROUND(IF(G91=36,J91*9%,0),0)</f>
        <v>2057265</v>
      </c>
      <c r="L91" s="40">
        <f>ROUND(IF(G91=36,J91*9%,0),0)</f>
        <v>2057265</v>
      </c>
      <c r="M91" s="40">
        <f>ROUND(IF(G91=36,J91*0%,J91*18%),0)</f>
        <v>0</v>
      </c>
      <c r="N91" s="407">
        <f>J91+K91+L91+M91</f>
        <v>26973034</v>
      </c>
      <c r="O91" s="21">
        <f>J91*0.25%</f>
        <v>57146.26</v>
      </c>
      <c r="P91" s="9">
        <f>O91/J91</f>
        <v>2.5000000000000001E-3</v>
      </c>
      <c r="Q91" s="23">
        <f>N91-O91</f>
        <v>26915887.739999998</v>
      </c>
      <c r="R91" s="5">
        <v>45835</v>
      </c>
      <c r="S91" s="6" t="s">
        <v>74</v>
      </c>
      <c r="T91" s="10" t="s">
        <v>96</v>
      </c>
      <c r="U91" s="66">
        <f>N91-O91-Q91</f>
        <v>0</v>
      </c>
      <c r="V91" s="8"/>
      <c r="W91" s="7" t="str">
        <f>IF(U91=0,"No Due","Outstanding")</f>
        <v>No Due</v>
      </c>
      <c r="Z91" s="266">
        <v>20687559</v>
      </c>
      <c r="AA91" s="41">
        <v>1788319</v>
      </c>
      <c r="AB91" s="41">
        <v>5926</v>
      </c>
      <c r="AC91" s="41">
        <v>95050</v>
      </c>
      <c r="AD91" s="41">
        <v>10500</v>
      </c>
      <c r="AE91" s="236">
        <f>SUM(Z91:AD91)</f>
        <v>22587354</v>
      </c>
      <c r="AF91" s="239">
        <f>J91-AE91</f>
        <v>271150</v>
      </c>
      <c r="AG91" s="237">
        <f>AF91</f>
        <v>271150</v>
      </c>
      <c r="AH91" s="237">
        <v>0</v>
      </c>
      <c r="AI91" s="237"/>
    </row>
    <row r="92" spans="1:35" ht="30" hidden="1" customHeight="1" x14ac:dyDescent="0.3">
      <c r="A92" s="3">
        <f>A91+1</f>
        <v>91</v>
      </c>
      <c r="B92" s="203" t="s">
        <v>305</v>
      </c>
      <c r="C92" s="46">
        <v>45819</v>
      </c>
      <c r="D92" s="167" t="s">
        <v>70</v>
      </c>
      <c r="E92" s="269" t="s">
        <v>360</v>
      </c>
      <c r="F92" s="167" t="s">
        <v>158</v>
      </c>
      <c r="G92" s="168">
        <v>21</v>
      </c>
      <c r="H92" s="8" t="s">
        <v>56</v>
      </c>
      <c r="I92" s="24" t="s">
        <v>362</v>
      </c>
      <c r="J92" s="45">
        <v>36781</v>
      </c>
      <c r="K92" s="169">
        <f>ROUND(IF(G92=36,J92*9%,0),0)</f>
        <v>0</v>
      </c>
      <c r="L92" s="40">
        <f>ROUND(IF(G92=36,J92*9%,0),0)</f>
        <v>0</v>
      </c>
      <c r="M92" s="40">
        <f>ROUND(IF(G92=36,J92*0%,J92*18%),0)</f>
        <v>6621</v>
      </c>
      <c r="N92" s="407">
        <f>J92+K92+L92+M92</f>
        <v>43402</v>
      </c>
      <c r="O92" s="21">
        <f>J92*0.25%</f>
        <v>91.952500000000001</v>
      </c>
      <c r="P92" s="9">
        <f>O92/J92</f>
        <v>2.5000000000000001E-3</v>
      </c>
      <c r="Q92" s="23">
        <f>42818+473</f>
        <v>43291</v>
      </c>
      <c r="R92" s="263" t="s">
        <v>526</v>
      </c>
      <c r="S92" s="6" t="s">
        <v>74</v>
      </c>
      <c r="T92" s="10" t="s">
        <v>96</v>
      </c>
      <c r="U92" s="66">
        <f>ROUND(N92-O92-Q92-19,0)</f>
        <v>0</v>
      </c>
      <c r="V92" s="8"/>
      <c r="W92" s="7" t="str">
        <f>IF(U92=0,"No Due","Outstanding")</f>
        <v>No Due</v>
      </c>
      <c r="Z92" s="266">
        <v>32281</v>
      </c>
      <c r="AA92" s="41">
        <v>3750</v>
      </c>
      <c r="AB92" s="41">
        <v>0</v>
      </c>
      <c r="AC92" s="41">
        <v>200</v>
      </c>
      <c r="AD92" s="41">
        <v>0</v>
      </c>
      <c r="AE92" s="236">
        <f>SUM(Z92:AD92)</f>
        <v>36231</v>
      </c>
      <c r="AF92" s="239">
        <f>J92-AE92</f>
        <v>550</v>
      </c>
      <c r="AG92" s="237">
        <f>AF92</f>
        <v>550</v>
      </c>
      <c r="AH92" s="237">
        <v>0</v>
      </c>
      <c r="AI92" s="237"/>
    </row>
    <row r="93" spans="1:35" ht="30" hidden="1" customHeight="1" x14ac:dyDescent="0.3">
      <c r="A93" s="3">
        <f>A92+1</f>
        <v>92</v>
      </c>
      <c r="B93" s="203" t="s">
        <v>305</v>
      </c>
      <c r="C93" s="46">
        <v>45819</v>
      </c>
      <c r="D93" s="167" t="s">
        <v>70</v>
      </c>
      <c r="E93" s="269" t="s">
        <v>361</v>
      </c>
      <c r="F93" s="167" t="s">
        <v>138</v>
      </c>
      <c r="G93" s="168">
        <v>36</v>
      </c>
      <c r="H93" s="8" t="s">
        <v>49</v>
      </c>
      <c r="I93" s="24" t="s">
        <v>363</v>
      </c>
      <c r="J93" s="45">
        <v>1223246</v>
      </c>
      <c r="K93" s="169">
        <f>ROUND(IF(G93=36,J93*9%,0),0)</f>
        <v>110092</v>
      </c>
      <c r="L93" s="40">
        <f>ROUND(IF(G93=36,J93*9%,0),0)</f>
        <v>110092</v>
      </c>
      <c r="M93" s="40">
        <f>ROUND(IF(G93=36,J93*0%,J93*18%),0)</f>
        <v>0</v>
      </c>
      <c r="N93" s="407">
        <f>J93+K93+L93+M93</f>
        <v>1443430</v>
      </c>
      <c r="O93" s="21">
        <f>J93*0.25%</f>
        <v>3058.1150000000002</v>
      </c>
      <c r="P93" s="9">
        <f>O93/J93</f>
        <v>2.5000000000000001E-3</v>
      </c>
      <c r="Q93" s="23">
        <f>N93-O93</f>
        <v>1440371.885</v>
      </c>
      <c r="R93" s="5">
        <v>45835</v>
      </c>
      <c r="S93" s="6" t="s">
        <v>74</v>
      </c>
      <c r="T93" s="10" t="s">
        <v>96</v>
      </c>
      <c r="U93" s="66">
        <f>N93-O93-Q93</f>
        <v>0</v>
      </c>
      <c r="V93" s="8"/>
      <c r="W93" s="7" t="str">
        <f>IF(U93=0,"No Due","Outstanding")</f>
        <v>No Due</v>
      </c>
      <c r="Z93" s="266">
        <v>1215546</v>
      </c>
      <c r="AA93" s="41">
        <v>0</v>
      </c>
      <c r="AB93" s="41">
        <v>0</v>
      </c>
      <c r="AC93" s="41">
        <v>0</v>
      </c>
      <c r="AD93" s="41">
        <v>0</v>
      </c>
      <c r="AE93" s="236">
        <f>SUM(Z93:AD93)</f>
        <v>1215546</v>
      </c>
      <c r="AF93" s="239">
        <f>J93-AE93</f>
        <v>7700</v>
      </c>
      <c r="AG93" s="237">
        <f>AF93</f>
        <v>7700</v>
      </c>
      <c r="AH93" s="237">
        <v>0</v>
      </c>
      <c r="AI93" s="237"/>
    </row>
    <row r="94" spans="1:35" ht="30" hidden="1" customHeight="1" x14ac:dyDescent="0.3">
      <c r="A94" s="3">
        <f>A93+1</f>
        <v>93</v>
      </c>
      <c r="B94" s="203" t="s">
        <v>305</v>
      </c>
      <c r="C94" s="222">
        <v>45826</v>
      </c>
      <c r="D94" s="227" t="s">
        <v>33</v>
      </c>
      <c r="E94" s="269" t="s">
        <v>372</v>
      </c>
      <c r="F94" s="171" t="s">
        <v>110</v>
      </c>
      <c r="G94" s="172">
        <v>37</v>
      </c>
      <c r="H94" s="8" t="s">
        <v>59</v>
      </c>
      <c r="I94" s="24" t="s">
        <v>375</v>
      </c>
      <c r="J94" s="45">
        <v>549900</v>
      </c>
      <c r="K94" s="173">
        <f>ROUND(IF(G94=36,J94*9%,0),0)</f>
        <v>0</v>
      </c>
      <c r="L94" s="40">
        <f>ROUND(IF(G94=36,J94*9%,0),0)</f>
        <v>0</v>
      </c>
      <c r="M94" s="40">
        <f>ROUND(IF(G94=36,J94*0%,J94*18%),0)</f>
        <v>98982</v>
      </c>
      <c r="N94" s="406">
        <f>J94+K94+L94+M94</f>
        <v>648882</v>
      </c>
      <c r="O94" s="21">
        <f>J94*0.25%</f>
        <v>1374.75</v>
      </c>
      <c r="P94" s="9">
        <f>O94/J94</f>
        <v>2.5000000000000001E-3</v>
      </c>
      <c r="Q94" s="23">
        <v>647507.03</v>
      </c>
      <c r="R94" s="67">
        <v>45832</v>
      </c>
      <c r="S94" s="6" t="s">
        <v>74</v>
      </c>
      <c r="T94" s="10" t="s">
        <v>248</v>
      </c>
      <c r="U94" s="66">
        <f>N94-O94-Q94</f>
        <v>0.21999999997206032</v>
      </c>
      <c r="V94" s="8"/>
      <c r="W94" s="383" t="s">
        <v>811</v>
      </c>
      <c r="Z94" s="266">
        <v>537525</v>
      </c>
      <c r="AA94" s="41">
        <v>0</v>
      </c>
      <c r="AB94" s="41">
        <v>0</v>
      </c>
      <c r="AC94" s="41">
        <v>0</v>
      </c>
      <c r="AD94" s="41">
        <v>0</v>
      </c>
      <c r="AE94" s="236">
        <f>SUM(Z94:AD94)</f>
        <v>537525</v>
      </c>
      <c r="AF94" s="239">
        <f>J94-AE94</f>
        <v>12375</v>
      </c>
      <c r="AG94" s="237">
        <f>AF94</f>
        <v>12375</v>
      </c>
      <c r="AH94" s="237">
        <v>0</v>
      </c>
      <c r="AI94" s="237"/>
    </row>
    <row r="95" spans="1:35" ht="30" hidden="1" customHeight="1" x14ac:dyDescent="0.3">
      <c r="A95" s="3">
        <f>A94+1</f>
        <v>94</v>
      </c>
      <c r="B95" s="203" t="s">
        <v>305</v>
      </c>
      <c r="C95" s="222">
        <v>45826</v>
      </c>
      <c r="D95" s="227" t="s">
        <v>33</v>
      </c>
      <c r="E95" s="269" t="s">
        <v>373</v>
      </c>
      <c r="F95" s="171" t="s">
        <v>110</v>
      </c>
      <c r="G95" s="172">
        <v>37</v>
      </c>
      <c r="H95" s="8" t="s">
        <v>59</v>
      </c>
      <c r="I95" s="24" t="s">
        <v>376</v>
      </c>
      <c r="J95" s="45">
        <v>2096895</v>
      </c>
      <c r="K95" s="173">
        <f>ROUND(IF(G95=36,J95*9%,0),0)</f>
        <v>0</v>
      </c>
      <c r="L95" s="40">
        <f>ROUND(IF(G95=36,J95*9%,0),0)</f>
        <v>0</v>
      </c>
      <c r="M95" s="40">
        <f>ROUND(IF(G95=36,J95*0%,J95*18%),0)</f>
        <v>377441</v>
      </c>
      <c r="N95" s="406">
        <f>J95+K95+L95+M95</f>
        <v>2474336</v>
      </c>
      <c r="O95" s="21">
        <f>J95*0.25%</f>
        <v>5242.2375000000002</v>
      </c>
      <c r="P95" s="9">
        <f>O95/J95</f>
        <v>2.5000000000000001E-3</v>
      </c>
      <c r="Q95" s="23">
        <v>2469094.27</v>
      </c>
      <c r="R95" s="67">
        <v>45832</v>
      </c>
      <c r="S95" s="6" t="s">
        <v>74</v>
      </c>
      <c r="T95" s="10" t="s">
        <v>248</v>
      </c>
      <c r="U95" s="66">
        <f>N95-O95-Q95</f>
        <v>-0.50749999983236194</v>
      </c>
      <c r="V95" s="8"/>
      <c r="W95" s="383" t="s">
        <v>811</v>
      </c>
      <c r="Z95" s="266">
        <v>2017020</v>
      </c>
      <c r="AA95" s="41">
        <v>0</v>
      </c>
      <c r="AB95" s="41">
        <v>0</v>
      </c>
      <c r="AC95" s="41">
        <v>0</v>
      </c>
      <c r="AD95" s="41">
        <v>0</v>
      </c>
      <c r="AE95" s="236">
        <f>SUM(Z95:AD95)</f>
        <v>2017020</v>
      </c>
      <c r="AF95" s="239">
        <f>J95-AE95</f>
        <v>79875</v>
      </c>
      <c r="AG95" s="237">
        <f>AF95</f>
        <v>79875</v>
      </c>
      <c r="AH95" s="237">
        <v>0</v>
      </c>
      <c r="AI95" s="237"/>
    </row>
    <row r="96" spans="1:35" ht="30" hidden="1" customHeight="1" x14ac:dyDescent="0.3">
      <c r="A96" s="3">
        <f>A95+1</f>
        <v>95</v>
      </c>
      <c r="B96" s="203" t="s">
        <v>305</v>
      </c>
      <c r="C96" s="222">
        <v>45826</v>
      </c>
      <c r="D96" s="227" t="s">
        <v>33</v>
      </c>
      <c r="E96" s="269" t="s">
        <v>374</v>
      </c>
      <c r="F96" s="171" t="s">
        <v>110</v>
      </c>
      <c r="G96" s="172">
        <v>37</v>
      </c>
      <c r="H96" s="8" t="s">
        <v>59</v>
      </c>
      <c r="I96" s="24" t="s">
        <v>377</v>
      </c>
      <c r="J96" s="45">
        <v>316085</v>
      </c>
      <c r="K96" s="173">
        <f>ROUND(IF(G96=36,J96*9%,0),0)</f>
        <v>0</v>
      </c>
      <c r="L96" s="40">
        <f>ROUND(IF(G96=36,J96*9%,0),0)</f>
        <v>0</v>
      </c>
      <c r="M96" s="40">
        <f>ROUND(IF(G96=36,J96*0%,J96*18%),0)</f>
        <v>56895</v>
      </c>
      <c r="N96" s="406">
        <f>J96+K96+L96+M96</f>
        <v>372980</v>
      </c>
      <c r="O96" s="21">
        <f>J96*0.25%</f>
        <v>790.21249999999998</v>
      </c>
      <c r="P96" s="9">
        <f>O96/J96</f>
        <v>2.5000000000000001E-3</v>
      </c>
      <c r="Q96" s="23">
        <v>372190.39</v>
      </c>
      <c r="R96" s="67">
        <v>45832</v>
      </c>
      <c r="S96" s="6" t="s">
        <v>74</v>
      </c>
      <c r="T96" s="10" t="s">
        <v>248</v>
      </c>
      <c r="U96" s="66">
        <f>N96-O96-Q96</f>
        <v>-0.6025000000372529</v>
      </c>
      <c r="V96" s="8"/>
      <c r="W96" s="383" t="s">
        <v>811</v>
      </c>
      <c r="Z96" s="266">
        <v>308960</v>
      </c>
      <c r="AA96" s="41">
        <v>0</v>
      </c>
      <c r="AB96" s="41">
        <v>0</v>
      </c>
      <c r="AC96" s="41">
        <v>0</v>
      </c>
      <c r="AD96" s="41">
        <v>0</v>
      </c>
      <c r="AE96" s="236">
        <f>SUM(Z96:AD96)</f>
        <v>308960</v>
      </c>
      <c r="AF96" s="239">
        <f>J96-AE96</f>
        <v>7125</v>
      </c>
      <c r="AG96" s="237">
        <f>AF96</f>
        <v>7125</v>
      </c>
      <c r="AH96" s="237">
        <v>0</v>
      </c>
      <c r="AI96" s="237"/>
    </row>
    <row r="97" spans="1:35" ht="30" hidden="1" customHeight="1" x14ac:dyDescent="0.3">
      <c r="A97" s="3">
        <f>A96+1</f>
        <v>96</v>
      </c>
      <c r="B97" s="203" t="s">
        <v>305</v>
      </c>
      <c r="C97" s="222">
        <v>45826</v>
      </c>
      <c r="D97" s="130" t="s">
        <v>129</v>
      </c>
      <c r="E97" s="269" t="s">
        <v>378</v>
      </c>
      <c r="F97" s="130" t="s">
        <v>146</v>
      </c>
      <c r="G97" s="131">
        <v>36</v>
      </c>
      <c r="H97" s="8" t="s">
        <v>52</v>
      </c>
      <c r="I97" s="24" t="s">
        <v>380</v>
      </c>
      <c r="J97" s="45">
        <f>89*200</f>
        <v>17800</v>
      </c>
      <c r="K97" s="132">
        <f>ROUND(IF(G97=36,J97*9%,0),0)</f>
        <v>1602</v>
      </c>
      <c r="L97" s="40">
        <f>ROUND(IF(G97=36,J97*9%,0),0)</f>
        <v>1602</v>
      </c>
      <c r="M97" s="40">
        <f>ROUND(IF(G97=36,J97*0%,J97*18%),0)</f>
        <v>0</v>
      </c>
      <c r="N97" s="406">
        <f>J97+K97+L97+M97</f>
        <v>21004</v>
      </c>
      <c r="O97" s="21">
        <f>J97*10%</f>
        <v>1780</v>
      </c>
      <c r="P97" s="9">
        <f>O97/J97</f>
        <v>0.1</v>
      </c>
      <c r="Q97" s="23">
        <v>19224</v>
      </c>
      <c r="R97" s="67">
        <v>45855</v>
      </c>
      <c r="S97" s="6" t="s">
        <v>74</v>
      </c>
      <c r="T97" s="10" t="s">
        <v>147</v>
      </c>
      <c r="U97" s="66">
        <f>N97-O97-Q97</f>
        <v>0</v>
      </c>
      <c r="V97" s="8"/>
      <c r="W97" s="7" t="str">
        <f>IF(U97=0,"No Due","Outstanding")</f>
        <v>No Due</v>
      </c>
      <c r="Z97" s="266">
        <v>0</v>
      </c>
      <c r="AA97" s="41">
        <v>0</v>
      </c>
      <c r="AB97" s="41">
        <v>0</v>
      </c>
      <c r="AC97" s="41">
        <v>0</v>
      </c>
      <c r="AD97" s="41">
        <v>0</v>
      </c>
      <c r="AE97" s="236">
        <f>SUM(Z97:AD97)</f>
        <v>0</v>
      </c>
      <c r="AF97" s="239">
        <f>J97-AE97</f>
        <v>17800</v>
      </c>
      <c r="AG97" s="237">
        <f>AF97</f>
        <v>17800</v>
      </c>
      <c r="AH97" s="237">
        <v>0</v>
      </c>
      <c r="AI97" s="237"/>
    </row>
    <row r="98" spans="1:35" ht="30" hidden="1" customHeight="1" x14ac:dyDescent="0.3">
      <c r="A98" s="3">
        <f>A97+1</f>
        <v>97</v>
      </c>
      <c r="B98" s="203" t="s">
        <v>305</v>
      </c>
      <c r="C98" s="222">
        <v>45826</v>
      </c>
      <c r="D98" s="130" t="s">
        <v>129</v>
      </c>
      <c r="E98" s="269" t="s">
        <v>379</v>
      </c>
      <c r="F98" s="130" t="s">
        <v>131</v>
      </c>
      <c r="G98" s="131">
        <v>36</v>
      </c>
      <c r="H98" s="8" t="s">
        <v>51</v>
      </c>
      <c r="I98" s="24" t="s">
        <v>380</v>
      </c>
      <c r="J98" s="45">
        <f>4*200</f>
        <v>800</v>
      </c>
      <c r="K98" s="132">
        <f>ROUND(IF(G98=36,J98*9%,0),0)</f>
        <v>72</v>
      </c>
      <c r="L98" s="40">
        <f>ROUND(IF(G98=36,J98*9%,0),0)</f>
        <v>72</v>
      </c>
      <c r="M98" s="40">
        <f>ROUND(IF(G98=36,J98*0%,J98*18%),0)</f>
        <v>0</v>
      </c>
      <c r="N98" s="406">
        <f>J98+K98+L98+M98</f>
        <v>944</v>
      </c>
      <c r="O98" s="21">
        <f>J98*10%</f>
        <v>80</v>
      </c>
      <c r="P98" s="9">
        <f>O98/J98</f>
        <v>0.1</v>
      </c>
      <c r="Q98" s="23">
        <v>864</v>
      </c>
      <c r="R98" s="67">
        <v>45855</v>
      </c>
      <c r="S98" s="6" t="s">
        <v>74</v>
      </c>
      <c r="T98" s="10" t="s">
        <v>147</v>
      </c>
      <c r="U98" s="66">
        <f>N98-O98-Q98</f>
        <v>0</v>
      </c>
      <c r="V98" s="8"/>
      <c r="W98" s="7" t="str">
        <f>IF(U98=0,"No Due","Outstanding")</f>
        <v>No Due</v>
      </c>
      <c r="Z98" s="266">
        <v>0</v>
      </c>
      <c r="AA98" s="41">
        <v>0</v>
      </c>
      <c r="AB98" s="41">
        <v>0</v>
      </c>
      <c r="AC98" s="41">
        <v>0</v>
      </c>
      <c r="AD98" s="41">
        <v>0</v>
      </c>
      <c r="AE98" s="236">
        <f>SUM(Z98:AD98)</f>
        <v>0</v>
      </c>
      <c r="AF98" s="239">
        <f>J98-AE98</f>
        <v>800</v>
      </c>
      <c r="AG98" s="237">
        <f>AF98</f>
        <v>800</v>
      </c>
      <c r="AH98" s="237">
        <v>0</v>
      </c>
      <c r="AI98" s="237"/>
    </row>
    <row r="99" spans="1:35" ht="30" hidden="1" customHeight="1" x14ac:dyDescent="0.3">
      <c r="A99" s="3">
        <f>A98+1</f>
        <v>98</v>
      </c>
      <c r="B99" s="203" t="s">
        <v>305</v>
      </c>
      <c r="C99" s="222">
        <v>45831</v>
      </c>
      <c r="D99" s="60" t="s">
        <v>33</v>
      </c>
      <c r="E99" s="269" t="s">
        <v>381</v>
      </c>
      <c r="F99" s="60" t="s">
        <v>37</v>
      </c>
      <c r="G99" s="65">
        <v>36</v>
      </c>
      <c r="H99" s="8" t="s">
        <v>38</v>
      </c>
      <c r="I99" s="24" t="s">
        <v>382</v>
      </c>
      <c r="J99" s="45">
        <v>158333</v>
      </c>
      <c r="K99" s="230">
        <f>ROUND(IF(G99=36,J99*9%,0),0)</f>
        <v>14250</v>
      </c>
      <c r="L99" s="40">
        <f>ROUND(IF(G99=36,J99*9%,0),0)</f>
        <v>14250</v>
      </c>
      <c r="M99" s="40">
        <f>ROUND(IF(G99=36,J99*0%,J99*18%),0)</f>
        <v>0</v>
      </c>
      <c r="N99" s="406">
        <f>J99+K99+L99+M99</f>
        <v>186833</v>
      </c>
      <c r="O99" s="21">
        <f>J99*10%</f>
        <v>15833.300000000001</v>
      </c>
      <c r="P99" s="9">
        <f>O99/J99</f>
        <v>0.1</v>
      </c>
      <c r="Q99" s="23">
        <v>171000</v>
      </c>
      <c r="R99" s="67">
        <v>45897</v>
      </c>
      <c r="S99" s="6" t="s">
        <v>74</v>
      </c>
      <c r="T99" s="10" t="s">
        <v>124</v>
      </c>
      <c r="U99" s="66">
        <f>N99-O99-Q99</f>
        <v>-0.29999999998835847</v>
      </c>
      <c r="V99" s="8"/>
      <c r="W99" s="383" t="s">
        <v>811</v>
      </c>
      <c r="Z99" s="266">
        <v>40147</v>
      </c>
      <c r="AA99" s="41">
        <v>3750</v>
      </c>
      <c r="AB99" s="41"/>
      <c r="AC99" s="41">
        <v>200</v>
      </c>
      <c r="AD99" s="41">
        <v>0</v>
      </c>
      <c r="AE99" s="236">
        <f>SUM(Z99:AD99)</f>
        <v>44097</v>
      </c>
      <c r="AF99" s="239">
        <f>J99-AE99</f>
        <v>114236</v>
      </c>
      <c r="AG99" s="237">
        <f>AF99</f>
        <v>114236</v>
      </c>
      <c r="AH99" s="237">
        <v>0</v>
      </c>
      <c r="AI99" s="237"/>
    </row>
    <row r="100" spans="1:35" ht="30" hidden="1" customHeight="1" x14ac:dyDescent="0.3">
      <c r="A100" s="3">
        <f>A99+1</f>
        <v>99</v>
      </c>
      <c r="B100" s="203" t="s">
        <v>305</v>
      </c>
      <c r="C100" s="46">
        <v>45833</v>
      </c>
      <c r="D100" s="146" t="s">
        <v>70</v>
      </c>
      <c r="E100" s="269" t="s">
        <v>383</v>
      </c>
      <c r="F100" s="146" t="s">
        <v>78</v>
      </c>
      <c r="G100" s="147">
        <v>36</v>
      </c>
      <c r="H100" s="8" t="s">
        <v>53</v>
      </c>
      <c r="I100" s="24" t="s">
        <v>384</v>
      </c>
      <c r="J100" s="45">
        <v>741263</v>
      </c>
      <c r="K100" s="148">
        <f>ROUND(IF(G100=36,J100*9%,0),0)</f>
        <v>66714</v>
      </c>
      <c r="L100" s="40">
        <f>ROUND(IF(G100=36,J100*9%,0),0)</f>
        <v>66714</v>
      </c>
      <c r="M100" s="40">
        <f>ROUND(IF(G100=36,J100*0%,J100*18%),0)</f>
        <v>0</v>
      </c>
      <c r="N100" s="406">
        <f>J100+K100+L100+M100</f>
        <v>874691</v>
      </c>
      <c r="O100" s="233">
        <f>J100*0.25%</f>
        <v>1853.1575</v>
      </c>
      <c r="P100" s="234">
        <f>O100/J100</f>
        <v>2.5000000000000001E-3</v>
      </c>
      <c r="Q100" s="23">
        <v>872837.34</v>
      </c>
      <c r="R100" s="67">
        <v>45839</v>
      </c>
      <c r="S100" s="6" t="s">
        <v>74</v>
      </c>
      <c r="T100" s="10" t="s">
        <v>251</v>
      </c>
      <c r="U100" s="66">
        <f>N100-O100-Q100</f>
        <v>0.50250000006053597</v>
      </c>
      <c r="V100" s="8"/>
      <c r="W100" s="383" t="s">
        <v>811</v>
      </c>
      <c r="Z100" s="266">
        <v>602870</v>
      </c>
      <c r="AA100" s="41">
        <v>108393</v>
      </c>
      <c r="AB100" s="41">
        <v>0</v>
      </c>
      <c r="AC100" s="41">
        <v>5350</v>
      </c>
      <c r="AD100" s="41">
        <v>0</v>
      </c>
      <c r="AE100" s="236">
        <f>SUM(Z100:AD100)</f>
        <v>716613</v>
      </c>
      <c r="AF100" s="239">
        <f>J100-AE100</f>
        <v>24650</v>
      </c>
      <c r="AG100" s="237">
        <f>AF100</f>
        <v>24650</v>
      </c>
      <c r="AH100" s="237">
        <v>0</v>
      </c>
      <c r="AI100" s="237"/>
    </row>
    <row r="101" spans="1:35" ht="30" hidden="1" customHeight="1" x14ac:dyDescent="0.3">
      <c r="A101" s="3">
        <f>A100+1</f>
        <v>100</v>
      </c>
      <c r="B101" s="154" t="s">
        <v>305</v>
      </c>
      <c r="C101" s="205">
        <v>45836</v>
      </c>
      <c r="D101" s="205" t="s">
        <v>70</v>
      </c>
      <c r="E101" s="269" t="s">
        <v>400</v>
      </c>
      <c r="F101" s="205" t="s">
        <v>87</v>
      </c>
      <c r="G101" s="206">
        <v>24</v>
      </c>
      <c r="H101" s="8" t="s">
        <v>53</v>
      </c>
      <c r="I101" s="24" t="s">
        <v>405</v>
      </c>
      <c r="J101" s="162">
        <v>1138259</v>
      </c>
      <c r="K101" s="148">
        <f>ROUND(IF(G101=36,J101*9%,0),0)</f>
        <v>0</v>
      </c>
      <c r="L101" s="40">
        <f>ROUND(IF(G101=36,J101*9%,0),0)</f>
        <v>0</v>
      </c>
      <c r="M101" s="40">
        <f>ROUND(IF(G101=36,J101*0%,J101*18%),0)</f>
        <v>204887</v>
      </c>
      <c r="N101" s="406">
        <f>J101+K101+L101+M101</f>
        <v>1343146</v>
      </c>
      <c r="O101" s="233">
        <f>J101*0.25%</f>
        <v>2845.6475</v>
      </c>
      <c r="P101" s="234">
        <f>O101/J101</f>
        <v>2.5000000000000001E-3</v>
      </c>
      <c r="Q101" s="41">
        <f>N101-O101-M101+204887</f>
        <v>1340300.3525</v>
      </c>
      <c r="R101" s="246" t="s">
        <v>490</v>
      </c>
      <c r="S101" s="6" t="s">
        <v>74</v>
      </c>
      <c r="T101" s="10" t="s">
        <v>80</v>
      </c>
      <c r="U101" s="66">
        <f>N101-O101-Q101</f>
        <v>0</v>
      </c>
      <c r="V101" s="8" t="s">
        <v>493</v>
      </c>
      <c r="W101" s="7" t="str">
        <f>IF(U101=0,"No Due","Outstanding")</f>
        <v>No Due</v>
      </c>
      <c r="Z101" s="266">
        <v>953813</v>
      </c>
      <c r="AA101" s="41">
        <v>142126</v>
      </c>
      <c r="AB101" s="41">
        <v>0</v>
      </c>
      <c r="AC101" s="41">
        <v>7600</v>
      </c>
      <c r="AD101" s="41">
        <v>720</v>
      </c>
      <c r="AE101" s="236">
        <f>SUM(Z101:AD101)</f>
        <v>1104259</v>
      </c>
      <c r="AF101" s="239">
        <f>J101-AE101</f>
        <v>34000</v>
      </c>
      <c r="AG101" s="237">
        <f>AF101</f>
        <v>34000</v>
      </c>
      <c r="AH101" s="237">
        <v>0</v>
      </c>
      <c r="AI101" s="237"/>
    </row>
    <row r="102" spans="1:35" ht="30" hidden="1" customHeight="1" x14ac:dyDescent="0.3">
      <c r="A102" s="3">
        <f>A101+1</f>
        <v>101</v>
      </c>
      <c r="B102" s="203" t="s">
        <v>305</v>
      </c>
      <c r="C102" s="46">
        <v>45836</v>
      </c>
      <c r="D102" s="146" t="s">
        <v>70</v>
      </c>
      <c r="E102" s="269" t="s">
        <v>401</v>
      </c>
      <c r="F102" s="146" t="s">
        <v>94</v>
      </c>
      <c r="G102" s="147">
        <v>24</v>
      </c>
      <c r="H102" s="8" t="s">
        <v>50</v>
      </c>
      <c r="I102" s="24" t="s">
        <v>404</v>
      </c>
      <c r="J102" s="45">
        <v>719392</v>
      </c>
      <c r="K102" s="148">
        <f>ROUND(IF(G102=36,J102*9%,0),0)</f>
        <v>0</v>
      </c>
      <c r="L102" s="40">
        <f>ROUND(IF(G102=36,J102*9%,0),0)</f>
        <v>0</v>
      </c>
      <c r="M102" s="40">
        <f>ROUND(IF(G102=36,J102*0%,J102*18%),0)</f>
        <v>129491</v>
      </c>
      <c r="N102" s="406">
        <f>J102+K102+L102+M102</f>
        <v>848883</v>
      </c>
      <c r="O102" s="21">
        <f>J102*0.25%</f>
        <v>1798.48</v>
      </c>
      <c r="P102" s="9">
        <f>O102/J102</f>
        <v>2.5000000000000001E-3</v>
      </c>
      <c r="Q102" s="23">
        <f>717594.44+129490</f>
        <v>847084.44</v>
      </c>
      <c r="R102" s="246" t="s">
        <v>481</v>
      </c>
      <c r="S102" s="6" t="s">
        <v>74</v>
      </c>
      <c r="T102" s="10" t="s">
        <v>96</v>
      </c>
      <c r="U102" s="66">
        <f>N102-O102-Q102</f>
        <v>8.0000000074505806E-2</v>
      </c>
      <c r="V102" s="8" t="s">
        <v>488</v>
      </c>
      <c r="W102" s="383" t="s">
        <v>811</v>
      </c>
      <c r="Z102" s="266">
        <v>596862</v>
      </c>
      <c r="AA102" s="41">
        <v>94762</v>
      </c>
      <c r="AB102" s="41">
        <v>0</v>
      </c>
      <c r="AC102" s="41">
        <v>5200</v>
      </c>
      <c r="AD102" s="41">
        <v>468</v>
      </c>
      <c r="AE102" s="236">
        <f>SUM(Z102:AD102)</f>
        <v>697292</v>
      </c>
      <c r="AF102" s="239">
        <f>J102-AE102</f>
        <v>22100</v>
      </c>
      <c r="AG102" s="237">
        <f>AF102</f>
        <v>22100</v>
      </c>
      <c r="AH102" s="237">
        <v>0</v>
      </c>
      <c r="AI102" s="237"/>
    </row>
    <row r="103" spans="1:35" ht="30" hidden="1" customHeight="1" x14ac:dyDescent="0.3">
      <c r="A103" s="3">
        <f>A102+1</f>
        <v>102</v>
      </c>
      <c r="B103" s="203" t="s">
        <v>305</v>
      </c>
      <c r="C103" s="46">
        <v>45836</v>
      </c>
      <c r="D103" s="146" t="s">
        <v>70</v>
      </c>
      <c r="E103" s="269" t="s">
        <v>402</v>
      </c>
      <c r="F103" s="146" t="s">
        <v>87</v>
      </c>
      <c r="G103" s="147">
        <v>24</v>
      </c>
      <c r="H103" s="8" t="s">
        <v>53</v>
      </c>
      <c r="I103" s="24" t="s">
        <v>403</v>
      </c>
      <c r="J103" s="45">
        <v>177391</v>
      </c>
      <c r="K103" s="148">
        <f>ROUND(IF(G103=36,J103*9%,0),0)</f>
        <v>0</v>
      </c>
      <c r="L103" s="40">
        <f>ROUND(IF(G103=36,J103*9%,0),0)</f>
        <v>0</v>
      </c>
      <c r="M103" s="40">
        <f>ROUND(IF(G103=36,J103*0%,J103*18%),0)</f>
        <v>31930</v>
      </c>
      <c r="N103" s="406">
        <f>J103+K103+L103+M103</f>
        <v>209321</v>
      </c>
      <c r="O103" s="233">
        <f>J103*0.25%</f>
        <v>443.47750000000002</v>
      </c>
      <c r="P103" s="234">
        <f>O103/J103</f>
        <v>2.5000000000000001E-3</v>
      </c>
      <c r="Q103" s="23">
        <f>209834-956</f>
        <v>208878</v>
      </c>
      <c r="R103" s="67">
        <v>45843</v>
      </c>
      <c r="S103" s="6" t="s">
        <v>74</v>
      </c>
      <c r="T103" s="10" t="s">
        <v>80</v>
      </c>
      <c r="U103" s="66">
        <f>N103-O103-Q103</f>
        <v>-0.47750000000814907</v>
      </c>
      <c r="V103" s="8"/>
      <c r="W103" s="383" t="s">
        <v>811</v>
      </c>
      <c r="Z103" s="266">
        <f>146137</f>
        <v>146137</v>
      </c>
      <c r="AA103" s="41">
        <v>24590</v>
      </c>
      <c r="AB103" s="41">
        <v>0</v>
      </c>
      <c r="AC103" s="41">
        <v>1400</v>
      </c>
      <c r="AD103" s="41">
        <v>126</v>
      </c>
      <c r="AE103" s="236">
        <f>SUM(Z103:AD103)</f>
        <v>172253</v>
      </c>
      <c r="AF103" s="239">
        <f>J103+J104-AE103</f>
        <v>5950</v>
      </c>
      <c r="AG103" s="237">
        <f>AF103</f>
        <v>5950</v>
      </c>
      <c r="AH103" s="237">
        <v>0</v>
      </c>
      <c r="AI103" s="237"/>
    </row>
    <row r="104" spans="1:35" ht="30" hidden="1" customHeight="1" x14ac:dyDescent="0.3">
      <c r="A104" s="3">
        <f>A103+1</f>
        <v>103</v>
      </c>
      <c r="B104" s="203" t="s">
        <v>305</v>
      </c>
      <c r="C104" s="46">
        <v>45836</v>
      </c>
      <c r="D104" s="146" t="s">
        <v>70</v>
      </c>
      <c r="E104" s="269" t="s">
        <v>420</v>
      </c>
      <c r="F104" s="146" t="s">
        <v>87</v>
      </c>
      <c r="G104" s="147">
        <v>24</v>
      </c>
      <c r="H104" s="8" t="s">
        <v>53</v>
      </c>
      <c r="I104" s="24" t="s">
        <v>421</v>
      </c>
      <c r="J104" s="45">
        <v>812</v>
      </c>
      <c r="K104" s="148">
        <f>ROUND(IF(G104=36,J104*9%,0),0)</f>
        <v>0</v>
      </c>
      <c r="L104" s="40">
        <f>ROUND(IF(G104=36,J104*9%,0),0)</f>
        <v>0</v>
      </c>
      <c r="M104" s="40">
        <f>ROUND(IF(G104=36,J104*0%,J104*18%),0)</f>
        <v>146</v>
      </c>
      <c r="N104" s="406">
        <f>J104+K104+L104+M104</f>
        <v>958</v>
      </c>
      <c r="O104" s="233">
        <f>J104*0.25%</f>
        <v>2.0300000000000002</v>
      </c>
      <c r="P104" s="234">
        <f>O104/J104</f>
        <v>2.5000000000000005E-3</v>
      </c>
      <c r="Q104" s="23">
        <f>N104-J104*0.25%</f>
        <v>955.97</v>
      </c>
      <c r="R104" s="67">
        <v>45843</v>
      </c>
      <c r="S104" s="6" t="s">
        <v>74</v>
      </c>
      <c r="T104" s="10" t="s">
        <v>80</v>
      </c>
      <c r="U104" s="66">
        <f>N104-O104-Q104</f>
        <v>0</v>
      </c>
      <c r="V104" s="8"/>
      <c r="W104" s="7" t="str">
        <f>IF(U104=0,"No Due","Outstanding")</f>
        <v>No Due</v>
      </c>
      <c r="Z104" s="266">
        <v>0</v>
      </c>
      <c r="AA104" s="41">
        <v>0</v>
      </c>
      <c r="AB104" s="41">
        <v>0</v>
      </c>
      <c r="AC104" s="41">
        <v>0</v>
      </c>
      <c r="AD104" s="41">
        <v>0</v>
      </c>
      <c r="AE104" s="236">
        <f>SUM(Z104:AD104)</f>
        <v>0</v>
      </c>
      <c r="AF104" s="239">
        <v>0</v>
      </c>
      <c r="AG104" s="237">
        <v>0</v>
      </c>
      <c r="AH104" s="237">
        <v>0</v>
      </c>
      <c r="AI104" s="237"/>
    </row>
    <row r="105" spans="1:35" ht="30" hidden="1" customHeight="1" x14ac:dyDescent="0.3">
      <c r="A105" s="3">
        <f>A104+1</f>
        <v>104</v>
      </c>
      <c r="B105" s="203" t="s">
        <v>305</v>
      </c>
      <c r="C105" s="205">
        <v>45838</v>
      </c>
      <c r="D105" s="205" t="s">
        <v>70</v>
      </c>
      <c r="E105" s="269" t="s">
        <v>406</v>
      </c>
      <c r="F105" s="205" t="s">
        <v>87</v>
      </c>
      <c r="G105" s="206">
        <v>24</v>
      </c>
      <c r="H105" s="8" t="s">
        <v>53</v>
      </c>
      <c r="I105" s="24" t="s">
        <v>442</v>
      </c>
      <c r="J105" s="162">
        <v>17571049</v>
      </c>
      <c r="K105" s="41">
        <f>ROUND(IF(G105=36,J105*9%,0),0)</f>
        <v>0</v>
      </c>
      <c r="L105" s="201">
        <f>ROUND(IF(G105=36,J105*9%,0),0)</f>
        <v>0</v>
      </c>
      <c r="M105" s="40">
        <f>ROUND(IF(G105=36,J105*0%,J105*18%),0)</f>
        <v>3162789</v>
      </c>
      <c r="N105" s="406">
        <f>J105+K105+L105+M105</f>
        <v>20733838</v>
      </c>
      <c r="O105" s="21">
        <f>J105*0.25%</f>
        <v>43927.622499999998</v>
      </c>
      <c r="P105" s="234">
        <f>O105/J105</f>
        <v>2.5000000000000001E-3</v>
      </c>
      <c r="Q105" s="23">
        <f>17527121.15+3162789</f>
        <v>20689910.149999999</v>
      </c>
      <c r="R105" s="246" t="s">
        <v>482</v>
      </c>
      <c r="S105" s="6" t="s">
        <v>74</v>
      </c>
      <c r="T105" s="10" t="s">
        <v>80</v>
      </c>
      <c r="U105" s="66">
        <f>N105-O105-Q105</f>
        <v>0.22750000283122063</v>
      </c>
      <c r="V105" s="8" t="s">
        <v>492</v>
      </c>
      <c r="W105" s="383" t="s">
        <v>811</v>
      </c>
      <c r="Z105" s="266">
        <v>14085156</v>
      </c>
      <c r="AA105" s="41">
        <v>2595692</v>
      </c>
      <c r="AB105" s="41">
        <v>0</v>
      </c>
      <c r="AC105" s="41">
        <v>121800</v>
      </c>
      <c r="AD105" s="41">
        <f>-886150+768101</f>
        <v>-118049</v>
      </c>
      <c r="AE105" s="236">
        <f>SUM(Z105:AD105)</f>
        <v>16684599</v>
      </c>
      <c r="AF105" s="239">
        <f>J105-AE105</f>
        <v>886450</v>
      </c>
      <c r="AG105" s="237">
        <f>AF105</f>
        <v>886450</v>
      </c>
      <c r="AH105" s="237">
        <v>0</v>
      </c>
      <c r="AI105" s="237"/>
    </row>
    <row r="106" spans="1:35" ht="30" hidden="1" customHeight="1" x14ac:dyDescent="0.3">
      <c r="A106" s="3">
        <f>A105+1</f>
        <v>105</v>
      </c>
      <c r="B106" s="203" t="s">
        <v>305</v>
      </c>
      <c r="C106" s="205">
        <v>45838</v>
      </c>
      <c r="D106" s="205" t="s">
        <v>70</v>
      </c>
      <c r="E106" s="269" t="s">
        <v>407</v>
      </c>
      <c r="F106" s="205" t="s">
        <v>94</v>
      </c>
      <c r="G106" s="206">
        <v>24</v>
      </c>
      <c r="H106" s="8" t="s">
        <v>50</v>
      </c>
      <c r="I106" s="24" t="s">
        <v>439</v>
      </c>
      <c r="J106" s="162">
        <v>13555704</v>
      </c>
      <c r="K106" s="41">
        <f>ROUND(IF(G106=36,J106*9%,0),0)</f>
        <v>0</v>
      </c>
      <c r="L106" s="201">
        <f>ROUND(IF(G106=36,J106*9%,0),0)</f>
        <v>0</v>
      </c>
      <c r="M106" s="40">
        <f>ROUND(IF(G106=36,J106*0%,J106*18%),0)</f>
        <v>2440027</v>
      </c>
      <c r="N106" s="406">
        <f>J106+K106+L106+M106</f>
        <v>15995731</v>
      </c>
      <c r="O106" s="21">
        <f>J106*0.25%</f>
        <v>33889.26</v>
      </c>
      <c r="P106" s="9">
        <f>O106/J106</f>
        <v>2.5000000000000001E-3</v>
      </c>
      <c r="Q106" s="23">
        <f>13521815.1+2440027</f>
        <v>15961842.1</v>
      </c>
      <c r="R106" s="246" t="s">
        <v>482</v>
      </c>
      <c r="S106" s="6" t="s">
        <v>74</v>
      </c>
      <c r="T106" s="10" t="s">
        <v>96</v>
      </c>
      <c r="U106" s="66">
        <f>N106-O106-Q106</f>
        <v>-0.35999999940395355</v>
      </c>
      <c r="V106" s="8" t="s">
        <v>487</v>
      </c>
      <c r="W106" s="383" t="s">
        <v>811</v>
      </c>
      <c r="Z106" s="266">
        <v>11217780</v>
      </c>
      <c r="AA106" s="41">
        <v>1810088</v>
      </c>
      <c r="AB106" s="41">
        <v>0</v>
      </c>
      <c r="AC106" s="41">
        <v>94400</v>
      </c>
      <c r="AD106" s="41">
        <f>-646000+433436-114374</f>
        <v>-326938</v>
      </c>
      <c r="AE106" s="236">
        <f>SUM(Z106:AD106)</f>
        <v>12795330</v>
      </c>
      <c r="AF106" s="239">
        <f>J106-AE106</f>
        <v>760374</v>
      </c>
      <c r="AG106" s="237">
        <f>AF106</f>
        <v>760374</v>
      </c>
      <c r="AH106" s="237">
        <v>0</v>
      </c>
      <c r="AI106" s="237"/>
    </row>
    <row r="107" spans="1:35" ht="30" hidden="1" customHeight="1" x14ac:dyDescent="0.3">
      <c r="A107" s="3">
        <f>A106+1</f>
        <v>106</v>
      </c>
      <c r="B107" s="203" t="s">
        <v>305</v>
      </c>
      <c r="C107" s="205">
        <v>45838</v>
      </c>
      <c r="D107" s="205" t="s">
        <v>70</v>
      </c>
      <c r="E107" s="269" t="s">
        <v>408</v>
      </c>
      <c r="F107" s="205" t="s">
        <v>105</v>
      </c>
      <c r="G107" s="206">
        <v>24</v>
      </c>
      <c r="H107" s="8" t="s">
        <v>60</v>
      </c>
      <c r="I107" s="24" t="s">
        <v>409</v>
      </c>
      <c r="J107" s="162">
        <v>3407986</v>
      </c>
      <c r="K107" s="41">
        <f>ROUND(IF(G107=36,J107*9%,0),0)</f>
        <v>0</v>
      </c>
      <c r="L107" s="201">
        <f>ROUND(IF(G107=36,J107*9%,0),0)</f>
        <v>0</v>
      </c>
      <c r="M107" s="40">
        <f>ROUND(IF(G107=36,J107*0%,J107*18%),0)</f>
        <v>613437</v>
      </c>
      <c r="N107" s="406">
        <f>J107+K107+L107+M107</f>
        <v>4021423</v>
      </c>
      <c r="O107" s="21">
        <f>J107*0.25%</f>
        <v>8519.9650000000001</v>
      </c>
      <c r="P107" s="9">
        <f>O107/J107</f>
        <v>2.5000000000000001E-3</v>
      </c>
      <c r="Q107" s="23">
        <f>3399466+613437</f>
        <v>4012903</v>
      </c>
      <c r="R107" s="275" t="s">
        <v>542</v>
      </c>
      <c r="S107" s="6" t="s">
        <v>74</v>
      </c>
      <c r="T107" s="10" t="s">
        <v>96</v>
      </c>
      <c r="U107" s="66">
        <f>N107-O107-Q107</f>
        <v>3.5000000149011612E-2</v>
      </c>
      <c r="V107" s="8" t="s">
        <v>539</v>
      </c>
      <c r="W107" s="383" t="s">
        <v>811</v>
      </c>
      <c r="Z107" s="266">
        <v>2943798</v>
      </c>
      <c r="AA107" s="41">
        <v>387578</v>
      </c>
      <c r="AB107" s="41">
        <v>0</v>
      </c>
      <c r="AC107" s="41">
        <v>19800</v>
      </c>
      <c r="AD107" s="41">
        <v>-66590</v>
      </c>
      <c r="AE107" s="236">
        <f>SUM(Z107:AD107)</f>
        <v>3284586</v>
      </c>
      <c r="AF107" s="239">
        <f>J107-AE107</f>
        <v>123400</v>
      </c>
      <c r="AG107" s="237">
        <f>AF107</f>
        <v>123400</v>
      </c>
      <c r="AH107" s="237">
        <v>0</v>
      </c>
      <c r="AI107" s="237"/>
    </row>
    <row r="108" spans="1:35" ht="30" hidden="1" customHeight="1" x14ac:dyDescent="0.3">
      <c r="A108" s="3">
        <f>A107+1</f>
        <v>107</v>
      </c>
      <c r="B108" s="203" t="s">
        <v>305</v>
      </c>
      <c r="C108" s="46">
        <v>45836</v>
      </c>
      <c r="D108" s="146" t="s">
        <v>70</v>
      </c>
      <c r="E108" s="269" t="s">
        <v>410</v>
      </c>
      <c r="F108" s="146" t="s">
        <v>87</v>
      </c>
      <c r="G108" s="147">
        <v>24</v>
      </c>
      <c r="H108" s="8" t="s">
        <v>53</v>
      </c>
      <c r="I108" s="24" t="s">
        <v>411</v>
      </c>
      <c r="J108" s="162">
        <v>401426</v>
      </c>
      <c r="K108" s="148">
        <f>ROUND(IF(G108=36,J108*9%,0),0)</f>
        <v>0</v>
      </c>
      <c r="L108" s="40">
        <f>ROUND(IF(G108=36,J108*9%,0),0)</f>
        <v>0</v>
      </c>
      <c r="M108" s="40">
        <f>ROUND(IF(G108=36,J108*0%,J108*18%),0)</f>
        <v>72257</v>
      </c>
      <c r="N108" s="406">
        <f>J108+K108+L108+M108</f>
        <v>473683</v>
      </c>
      <c r="O108" s="21">
        <f>J108*0.25%</f>
        <v>1003.5650000000001</v>
      </c>
      <c r="P108" s="9">
        <f>O108/J108</f>
        <v>2.5000000000000001E-3</v>
      </c>
      <c r="Q108" s="23">
        <f>N108-(J108*0.25%)-M108+72257</f>
        <v>472679.435</v>
      </c>
      <c r="R108" s="270" t="s">
        <v>535</v>
      </c>
      <c r="S108" s="6" t="s">
        <v>74</v>
      </c>
      <c r="T108" s="10" t="s">
        <v>80</v>
      </c>
      <c r="U108" s="66">
        <f>N108-O108-Q108</f>
        <v>0</v>
      </c>
      <c r="V108" s="8" t="s">
        <v>530</v>
      </c>
      <c r="W108" s="7" t="str">
        <f>IF(U108=0,"No Due","Outstanding")</f>
        <v>No Due</v>
      </c>
      <c r="Z108" s="266">
        <v>309697</v>
      </c>
      <c r="AA108" s="41">
        <v>63133</v>
      </c>
      <c r="AB108" s="41">
        <v>0</v>
      </c>
      <c r="AC108" s="41">
        <v>3600</v>
      </c>
      <c r="AD108" s="41">
        <v>546</v>
      </c>
      <c r="AE108" s="236">
        <f>SUM(Z108:AD108)</f>
        <v>376976</v>
      </c>
      <c r="AF108" s="239">
        <f>J108-AE108</f>
        <v>24450</v>
      </c>
      <c r="AG108" s="237">
        <f>AF108</f>
        <v>24450</v>
      </c>
      <c r="AH108" s="237">
        <v>0</v>
      </c>
      <c r="AI108" s="237"/>
    </row>
    <row r="109" spans="1:35" ht="30" hidden="1" customHeight="1" x14ac:dyDescent="0.3">
      <c r="A109" s="3">
        <f>A108+1</f>
        <v>108</v>
      </c>
      <c r="B109" s="154" t="s">
        <v>305</v>
      </c>
      <c r="C109" s="205">
        <v>45838</v>
      </c>
      <c r="D109" s="205" t="s">
        <v>70</v>
      </c>
      <c r="E109" s="269" t="s">
        <v>412</v>
      </c>
      <c r="F109" s="205" t="s">
        <v>87</v>
      </c>
      <c r="G109" s="206">
        <v>24</v>
      </c>
      <c r="H109" s="8" t="s">
        <v>53</v>
      </c>
      <c r="I109" s="24" t="s">
        <v>422</v>
      </c>
      <c r="J109" s="162">
        <v>91731</v>
      </c>
      <c r="K109" s="148">
        <f>ROUND(IF(G109=36,J109*9%,0),0)</f>
        <v>0</v>
      </c>
      <c r="L109" s="40">
        <f>ROUND(IF(G109=36,J109*9%,0),0)</f>
        <v>0</v>
      </c>
      <c r="M109" s="40">
        <f>ROUND(IF(G109=36,J109*0%,J109*18%),0)</f>
        <v>16512</v>
      </c>
      <c r="N109" s="406">
        <f>J109+K109+L109+M109</f>
        <v>108243</v>
      </c>
      <c r="O109" s="233">
        <f>J109*0.25%</f>
        <v>229.32750000000001</v>
      </c>
      <c r="P109" s="234">
        <f>O109/J109</f>
        <v>2.5000000000000001E-3</v>
      </c>
      <c r="Q109" s="41">
        <f>N109-O109-M109+16512</f>
        <v>108013.6725</v>
      </c>
      <c r="R109" s="246" t="s">
        <v>490</v>
      </c>
      <c r="S109" s="6" t="s">
        <v>74</v>
      </c>
      <c r="T109" s="10" t="s">
        <v>80</v>
      </c>
      <c r="U109" s="66">
        <f>N109-O109-Q109</f>
        <v>0</v>
      </c>
      <c r="V109" s="8" t="s">
        <v>491</v>
      </c>
      <c r="W109" s="7" t="str">
        <f>IF(U109=0,"No Due","Outstanding")</f>
        <v>No Due</v>
      </c>
      <c r="Z109" s="266">
        <v>91731</v>
      </c>
      <c r="AA109" s="41">
        <v>0</v>
      </c>
      <c r="AB109" s="41">
        <v>0</v>
      </c>
      <c r="AC109" s="41">
        <v>0</v>
      </c>
      <c r="AD109" s="41">
        <v>0</v>
      </c>
      <c r="AE109" s="236">
        <f>SUM(Z109:AD109)</f>
        <v>91731</v>
      </c>
      <c r="AF109" s="239">
        <f>J109-AE109</f>
        <v>0</v>
      </c>
      <c r="AG109" s="237">
        <f>AF109</f>
        <v>0</v>
      </c>
      <c r="AH109" s="237">
        <v>0</v>
      </c>
      <c r="AI109" s="237"/>
    </row>
    <row r="110" spans="1:35" ht="30" hidden="1" customHeight="1" x14ac:dyDescent="0.3">
      <c r="A110" s="3">
        <f>A109+1</f>
        <v>109</v>
      </c>
      <c r="B110" s="203" t="s">
        <v>305</v>
      </c>
      <c r="C110" s="46">
        <v>45836</v>
      </c>
      <c r="D110" s="146" t="s">
        <v>70</v>
      </c>
      <c r="E110" s="272" t="s">
        <v>413</v>
      </c>
      <c r="F110" s="146" t="s">
        <v>87</v>
      </c>
      <c r="G110" s="147">
        <v>24</v>
      </c>
      <c r="H110" s="8" t="s">
        <v>53</v>
      </c>
      <c r="I110" s="24" t="s">
        <v>423</v>
      </c>
      <c r="J110" s="162">
        <v>39698</v>
      </c>
      <c r="K110" s="148">
        <f>ROUND(IF(G110=36,J110*9%,0),0)</f>
        <v>0</v>
      </c>
      <c r="L110" s="40">
        <f>ROUND(IF(G110=36,J110*9%,0),0)</f>
        <v>0</v>
      </c>
      <c r="M110" s="40">
        <f>ROUND(IF(G110=36,J110*0%,J110*18%),0)</f>
        <v>7146</v>
      </c>
      <c r="N110" s="406">
        <f>J110+K110+L110+M110</f>
        <v>46844</v>
      </c>
      <c r="O110" s="233">
        <f>J110*0.25%</f>
        <v>99.245000000000005</v>
      </c>
      <c r="P110" s="234">
        <f>O110/J110</f>
        <v>2.5000000000000001E-3</v>
      </c>
      <c r="Q110" s="41">
        <f>N110-O110-M110+7146</f>
        <v>46744.754999999997</v>
      </c>
      <c r="R110" s="288" t="s">
        <v>580</v>
      </c>
      <c r="S110" s="271" t="s">
        <v>74</v>
      </c>
      <c r="T110" s="10" t="s">
        <v>80</v>
      </c>
      <c r="U110" s="66">
        <f>N110-O110-Q110</f>
        <v>0</v>
      </c>
      <c r="V110" s="8" t="s">
        <v>576</v>
      </c>
      <c r="W110" s="7" t="str">
        <f>IF(U110=0,"No Due","Outstanding")</f>
        <v>No Due</v>
      </c>
      <c r="Z110" s="266">
        <v>39698</v>
      </c>
      <c r="AA110" s="41">
        <v>0</v>
      </c>
      <c r="AB110" s="41">
        <v>0</v>
      </c>
      <c r="AC110" s="41">
        <v>0</v>
      </c>
      <c r="AD110" s="41">
        <v>0</v>
      </c>
      <c r="AE110" s="236">
        <f>SUM(Z110:AD110)</f>
        <v>39698</v>
      </c>
      <c r="AF110" s="239">
        <f>J110-AE110</f>
        <v>0</v>
      </c>
      <c r="AG110" s="237">
        <f>AF110</f>
        <v>0</v>
      </c>
      <c r="AH110" s="237">
        <v>0</v>
      </c>
      <c r="AI110" s="237"/>
    </row>
    <row r="111" spans="1:35" ht="30" customHeight="1" x14ac:dyDescent="0.3">
      <c r="A111" s="3">
        <f>A110+1</f>
        <v>110</v>
      </c>
      <c r="B111" s="203" t="s">
        <v>305</v>
      </c>
      <c r="C111" s="46">
        <v>45836</v>
      </c>
      <c r="D111" s="146" t="s">
        <v>288</v>
      </c>
      <c r="E111" s="269" t="s">
        <v>414</v>
      </c>
      <c r="F111" s="146" t="s">
        <v>289</v>
      </c>
      <c r="G111" s="147">
        <v>36</v>
      </c>
      <c r="H111" s="8" t="s">
        <v>287</v>
      </c>
      <c r="I111" s="24" t="s">
        <v>418</v>
      </c>
      <c r="J111" s="162">
        <v>526282.30000000005</v>
      </c>
      <c r="K111" s="148">
        <f>ROUND(IF(G111=36,J111*9%,0),0)</f>
        <v>47365</v>
      </c>
      <c r="L111" s="40">
        <f>ROUND(IF(G111=36,J111*9%,0),0)</f>
        <v>47365</v>
      </c>
      <c r="M111" s="40">
        <f>ROUND(IF(G111=36,J111*0%,J111*18%),0)</f>
        <v>0</v>
      </c>
      <c r="N111" s="406">
        <f>J111+K111+L111+M111</f>
        <v>621012.30000000005</v>
      </c>
      <c r="O111" s="21">
        <f>N111-Q111</f>
        <v>10525.64599999995</v>
      </c>
      <c r="P111" s="9">
        <f>O111/J111</f>
        <v>1.9999999999999903E-2</v>
      </c>
      <c r="Q111" s="23">
        <f>N111-(J111*2%)</f>
        <v>610486.6540000001</v>
      </c>
      <c r="R111" s="67">
        <v>45842</v>
      </c>
      <c r="S111" s="6" t="s">
        <v>74</v>
      </c>
      <c r="T111" s="10" t="s">
        <v>322</v>
      </c>
      <c r="U111" s="66">
        <f>N111-O111-Q111</f>
        <v>0</v>
      </c>
      <c r="V111" s="8"/>
      <c r="W111" s="7" t="str">
        <f>IF(U111=0,"No Due","Outstanding")</f>
        <v>No Due</v>
      </c>
      <c r="Z111" s="266">
        <v>359072</v>
      </c>
      <c r="AA111" s="41">
        <v>101286</v>
      </c>
      <c r="AB111" s="41">
        <v>17025</v>
      </c>
      <c r="AC111" s="41">
        <v>1050</v>
      </c>
      <c r="AD111" s="41">
        <v>0</v>
      </c>
      <c r="AE111" s="236">
        <f>SUM(Z111:AD111)</f>
        <v>478433</v>
      </c>
      <c r="AF111" s="239">
        <f>J111-AE111</f>
        <v>47849.300000000047</v>
      </c>
      <c r="AG111" s="237">
        <f>AF111</f>
        <v>47849.300000000047</v>
      </c>
      <c r="AH111" s="237">
        <v>0</v>
      </c>
      <c r="AI111" s="237"/>
    </row>
    <row r="112" spans="1:35" ht="30" customHeight="1" x14ac:dyDescent="0.3">
      <c r="A112" s="3">
        <f>A111+1</f>
        <v>111</v>
      </c>
      <c r="B112" s="203" t="s">
        <v>305</v>
      </c>
      <c r="C112" s="46">
        <v>45836</v>
      </c>
      <c r="D112" s="146" t="s">
        <v>288</v>
      </c>
      <c r="E112" s="269" t="s">
        <v>415</v>
      </c>
      <c r="F112" s="146" t="s">
        <v>289</v>
      </c>
      <c r="G112" s="147">
        <v>36</v>
      </c>
      <c r="H112" s="8" t="s">
        <v>287</v>
      </c>
      <c r="I112" s="24" t="s">
        <v>419</v>
      </c>
      <c r="J112" s="162">
        <v>135611</v>
      </c>
      <c r="K112" s="148">
        <f>ROUND(IF(G112=36,J112*9%,0),0)</f>
        <v>12205</v>
      </c>
      <c r="L112" s="40">
        <f>ROUND(IF(G112=36,J112*9%,0),0)</f>
        <v>12205</v>
      </c>
      <c r="M112" s="40">
        <f>ROUND(IF(G112=36,J112*0%,J112*18%),0)</f>
        <v>0</v>
      </c>
      <c r="N112" s="406">
        <f>J112+K112+L112+M112</f>
        <v>160021</v>
      </c>
      <c r="O112" s="21">
        <f>N112-Q112</f>
        <v>2712.2200000000012</v>
      </c>
      <c r="P112" s="9">
        <f>O112/J112</f>
        <v>2.0000000000000007E-2</v>
      </c>
      <c r="Q112" s="23">
        <f>N112-(J112*2%)</f>
        <v>157308.78</v>
      </c>
      <c r="R112" s="67">
        <v>45842</v>
      </c>
      <c r="S112" s="6" t="s">
        <v>74</v>
      </c>
      <c r="T112" s="10" t="s">
        <v>322</v>
      </c>
      <c r="U112" s="66">
        <f>N112-O112-Q112</f>
        <v>0</v>
      </c>
      <c r="V112" s="8"/>
      <c r="W112" s="7" t="str">
        <f>IF(U112=0,"No Due","Outstanding")</f>
        <v>No Due</v>
      </c>
      <c r="Z112" s="266">
        <v>123245</v>
      </c>
      <c r="AA112" s="41">
        <v>0</v>
      </c>
      <c r="AB112" s="41">
        <v>0</v>
      </c>
      <c r="AC112" s="41">
        <v>0</v>
      </c>
      <c r="AD112" s="41">
        <v>0</v>
      </c>
      <c r="AE112" s="236">
        <f>SUM(Z112:AD112)</f>
        <v>123245</v>
      </c>
      <c r="AF112" s="239">
        <f>J112-AE112</f>
        <v>12366</v>
      </c>
      <c r="AG112" s="237">
        <f>AF112</f>
        <v>12366</v>
      </c>
      <c r="AH112" s="237">
        <v>0</v>
      </c>
      <c r="AI112" s="237"/>
    </row>
    <row r="113" spans="1:35" ht="30" customHeight="1" x14ac:dyDescent="0.3">
      <c r="A113" s="3">
        <f>A112+1</f>
        <v>112</v>
      </c>
      <c r="B113" s="203" t="s">
        <v>305</v>
      </c>
      <c r="C113" s="46">
        <v>45836</v>
      </c>
      <c r="D113" s="146" t="s">
        <v>288</v>
      </c>
      <c r="E113" s="269" t="s">
        <v>416</v>
      </c>
      <c r="F113" s="146" t="s">
        <v>289</v>
      </c>
      <c r="G113" s="147">
        <v>36</v>
      </c>
      <c r="H113" s="8" t="s">
        <v>287</v>
      </c>
      <c r="I113" s="24" t="s">
        <v>418</v>
      </c>
      <c r="J113" s="162">
        <v>145313.74</v>
      </c>
      <c r="K113" s="148">
        <f>ROUND(IF(G113=36,J113*9%,0),0)</f>
        <v>13078</v>
      </c>
      <c r="L113" s="40">
        <f>ROUND(IF(G113=36,J113*9%,0),0)</f>
        <v>13078</v>
      </c>
      <c r="M113" s="40">
        <f>ROUND(IF(G113=36,J113*0%,J113*18%),0)</f>
        <v>0</v>
      </c>
      <c r="N113" s="406">
        <f>J113+K113+L113+M113</f>
        <v>171469.74</v>
      </c>
      <c r="O113" s="21">
        <f>N113-Q113</f>
        <v>2906.2748000000138</v>
      </c>
      <c r="P113" s="9">
        <f>O113/J113</f>
        <v>2.0000000000000098E-2</v>
      </c>
      <c r="Q113" s="23">
        <f>N113-(J113*2%)</f>
        <v>168563.46519999998</v>
      </c>
      <c r="R113" s="67">
        <v>45842</v>
      </c>
      <c r="S113" s="6" t="s">
        <v>74</v>
      </c>
      <c r="T113" s="10" t="s">
        <v>322</v>
      </c>
      <c r="U113" s="66">
        <f>N113-O113-Q113</f>
        <v>0</v>
      </c>
      <c r="V113" s="8"/>
      <c r="W113" s="7" t="str">
        <f>IF(U113=0,"No Due","Outstanding")</f>
        <v>No Due</v>
      </c>
      <c r="Z113" s="266">
        <v>101751</v>
      </c>
      <c r="AA113" s="41">
        <v>25394</v>
      </c>
      <c r="AB113" s="41">
        <f>21086-AB111</f>
        <v>4061</v>
      </c>
      <c r="AC113" s="41">
        <v>2650</v>
      </c>
      <c r="AD113" s="41">
        <v>0</v>
      </c>
      <c r="AE113" s="236">
        <f>SUM(Z113:AD113)</f>
        <v>133856</v>
      </c>
      <c r="AF113" s="239">
        <f>J113-AE113</f>
        <v>11457.739999999991</v>
      </c>
      <c r="AG113" s="237">
        <f>AF113</f>
        <v>11457.739999999991</v>
      </c>
      <c r="AH113" s="237">
        <v>0</v>
      </c>
      <c r="AI113" s="237"/>
    </row>
    <row r="114" spans="1:35" ht="30" customHeight="1" x14ac:dyDescent="0.3">
      <c r="A114" s="3">
        <f>A113+1</f>
        <v>113</v>
      </c>
      <c r="B114" s="203" t="s">
        <v>305</v>
      </c>
      <c r="C114" s="46">
        <v>45836</v>
      </c>
      <c r="D114" s="146" t="s">
        <v>288</v>
      </c>
      <c r="E114" s="269" t="s">
        <v>417</v>
      </c>
      <c r="F114" s="146" t="s">
        <v>289</v>
      </c>
      <c r="G114" s="147">
        <v>36</v>
      </c>
      <c r="H114" s="8" t="s">
        <v>287</v>
      </c>
      <c r="I114" s="24" t="s">
        <v>419</v>
      </c>
      <c r="J114" s="162">
        <v>60274</v>
      </c>
      <c r="K114" s="148">
        <f>ROUND(IF(G114=36,J114*9%,0),0)</f>
        <v>5425</v>
      </c>
      <c r="L114" s="40">
        <f>ROUND(IF(G114=36,J114*9%,0),0)</f>
        <v>5425</v>
      </c>
      <c r="M114" s="40">
        <f>ROUND(IF(G114=36,J114*0%,J114*18%),0)</f>
        <v>0</v>
      </c>
      <c r="N114" s="406">
        <f>J114+K114+L114+M114</f>
        <v>71124</v>
      </c>
      <c r="O114" s="21">
        <f>N114-Q114</f>
        <v>1205.4799999999959</v>
      </c>
      <c r="P114" s="9">
        <f>O114/J114</f>
        <v>1.9999999999999931E-2</v>
      </c>
      <c r="Q114" s="23">
        <f>N114-(J114*2%)</f>
        <v>69918.52</v>
      </c>
      <c r="R114" s="67">
        <v>45842</v>
      </c>
      <c r="S114" s="6" t="s">
        <v>74</v>
      </c>
      <c r="T114" s="10" t="s">
        <v>322</v>
      </c>
      <c r="U114" s="66">
        <f>N114-O114-Q114</f>
        <v>0</v>
      </c>
      <c r="V114" s="8"/>
      <c r="W114" s="7" t="str">
        <f>IF(U114=0,"No Due","Outstanding")</f>
        <v>No Due</v>
      </c>
      <c r="Z114" s="266">
        <v>55805</v>
      </c>
      <c r="AA114" s="41">
        <v>0</v>
      </c>
      <c r="AB114" s="41">
        <v>0</v>
      </c>
      <c r="AC114" s="41">
        <v>0</v>
      </c>
      <c r="AD114" s="41">
        <v>0</v>
      </c>
      <c r="AE114" s="236">
        <f>SUM(Z114:AD114)</f>
        <v>55805</v>
      </c>
      <c r="AF114" s="239">
        <f>J114-AE114</f>
        <v>4469</v>
      </c>
      <c r="AG114" s="237">
        <f>AF114</f>
        <v>4469</v>
      </c>
      <c r="AH114" s="237">
        <v>0</v>
      </c>
      <c r="AI114" s="237"/>
    </row>
    <row r="115" spans="1:35" ht="30" hidden="1" customHeight="1" x14ac:dyDescent="0.3">
      <c r="A115" s="3">
        <f>A114+1</f>
        <v>114</v>
      </c>
      <c r="B115" s="203" t="s">
        <v>305</v>
      </c>
      <c r="C115" s="205">
        <v>45838</v>
      </c>
      <c r="D115" s="160" t="s">
        <v>70</v>
      </c>
      <c r="E115" s="269" t="s">
        <v>424</v>
      </c>
      <c r="F115" s="160" t="s">
        <v>87</v>
      </c>
      <c r="G115" s="161">
        <v>24</v>
      </c>
      <c r="H115" s="8" t="s">
        <v>53</v>
      </c>
      <c r="I115" s="24" t="s">
        <v>430</v>
      </c>
      <c r="J115" s="162">
        <v>2607835</v>
      </c>
      <c r="K115" s="148">
        <f>ROUND(IF(G115=36,J115*9%,0),0)</f>
        <v>0</v>
      </c>
      <c r="L115" s="40">
        <f>ROUND(IF(G115=36,J115*9%,0),0)</f>
        <v>0</v>
      </c>
      <c r="M115" s="40">
        <f>ROUND(IF(G115=36,J115*0%,J115*18%),0)</f>
        <v>469410</v>
      </c>
      <c r="N115" s="406">
        <f>J115+K115+L115+M115</f>
        <v>3077245</v>
      </c>
      <c r="O115" s="21">
        <f>J115*0.25%</f>
        <v>6519.5875000000005</v>
      </c>
      <c r="P115" s="9">
        <f>O115/J115</f>
        <v>2.5000000000000001E-3</v>
      </c>
      <c r="Q115" s="23">
        <f>N115-(J115*0.25%)-M115+469410</f>
        <v>3070725.4125000001</v>
      </c>
      <c r="R115" s="270" t="s">
        <v>535</v>
      </c>
      <c r="S115" s="268" t="s">
        <v>74</v>
      </c>
      <c r="T115" s="10" t="s">
        <v>80</v>
      </c>
      <c r="U115" s="66">
        <f>N115-O115-Q115</f>
        <v>0</v>
      </c>
      <c r="V115" s="8" t="s">
        <v>531</v>
      </c>
      <c r="W115" s="7" t="str">
        <f>IF(U115=0,"No Due","Outstanding")</f>
        <v>No Due</v>
      </c>
      <c r="Z115" s="266">
        <f>J115</f>
        <v>2607835</v>
      </c>
      <c r="AA115" s="41">
        <v>0</v>
      </c>
      <c r="AB115" s="41">
        <v>0</v>
      </c>
      <c r="AC115" s="41">
        <v>0</v>
      </c>
      <c r="AD115" s="41">
        <v>0</v>
      </c>
      <c r="AE115" s="236">
        <f>SUM(Z115:AD115)</f>
        <v>2607835</v>
      </c>
      <c r="AF115" s="239">
        <f>J115-AE115</f>
        <v>0</v>
      </c>
      <c r="AG115" s="237">
        <f>AF115</f>
        <v>0</v>
      </c>
      <c r="AH115" s="237">
        <v>0</v>
      </c>
      <c r="AI115" s="237"/>
    </row>
    <row r="116" spans="1:35" ht="30" hidden="1" customHeight="1" x14ac:dyDescent="0.3">
      <c r="A116" s="3">
        <f>A115+1</f>
        <v>115</v>
      </c>
      <c r="B116" s="203" t="s">
        <v>305</v>
      </c>
      <c r="C116" s="205">
        <v>45838</v>
      </c>
      <c r="D116" s="160" t="s">
        <v>70</v>
      </c>
      <c r="E116" s="269" t="s">
        <v>425</v>
      </c>
      <c r="F116" s="160" t="s">
        <v>94</v>
      </c>
      <c r="G116" s="161">
        <v>24</v>
      </c>
      <c r="H116" s="8" t="s">
        <v>50</v>
      </c>
      <c r="I116" s="24" t="s">
        <v>428</v>
      </c>
      <c r="J116" s="162">
        <v>2431254</v>
      </c>
      <c r="K116" s="148">
        <f>ROUND(IF(G116=36,J116*9%,0),0)</f>
        <v>0</v>
      </c>
      <c r="L116" s="40">
        <f>ROUND(IF(G116=36,J116*9%,0),0)</f>
        <v>0</v>
      </c>
      <c r="M116" s="40">
        <f>ROUND(IF(G116=36,J116*0%,J116*18%),0)</f>
        <v>437626</v>
      </c>
      <c r="N116" s="406">
        <f>J116+K116+L116+M116</f>
        <v>2868880</v>
      </c>
      <c r="O116" s="21">
        <f>J116*0.25%</f>
        <v>6078.1350000000002</v>
      </c>
      <c r="P116" s="9">
        <f>O116/J116</f>
        <v>2.5000000000000001E-3</v>
      </c>
      <c r="Q116" s="23">
        <f>2425176.28+437626</f>
        <v>2862802.28</v>
      </c>
      <c r="R116" s="246" t="s">
        <v>482</v>
      </c>
      <c r="S116" s="6" t="s">
        <v>74</v>
      </c>
      <c r="T116" s="10" t="s">
        <v>96</v>
      </c>
      <c r="U116" s="66">
        <f>N116-O116-Q116</f>
        <v>-0.41499999957159162</v>
      </c>
      <c r="V116" s="8" t="s">
        <v>485</v>
      </c>
      <c r="W116" s="383" t="s">
        <v>811</v>
      </c>
      <c r="Z116" s="266">
        <f>J116</f>
        <v>2431254</v>
      </c>
      <c r="AA116" s="41">
        <v>0</v>
      </c>
      <c r="AB116" s="41">
        <v>0</v>
      </c>
      <c r="AC116" s="41">
        <v>0</v>
      </c>
      <c r="AD116" s="41">
        <v>0</v>
      </c>
      <c r="AE116" s="236">
        <f>SUM(Z116:AD116)</f>
        <v>2431254</v>
      </c>
      <c r="AF116" s="239">
        <f>J116-AE116</f>
        <v>0</v>
      </c>
      <c r="AG116" s="237">
        <f>AF116</f>
        <v>0</v>
      </c>
      <c r="AH116" s="237">
        <v>0</v>
      </c>
      <c r="AI116" s="237"/>
    </row>
    <row r="117" spans="1:35" ht="30" hidden="1" customHeight="1" x14ac:dyDescent="0.3">
      <c r="A117" s="3">
        <f>A116+1</f>
        <v>116</v>
      </c>
      <c r="B117" s="203" t="s">
        <v>305</v>
      </c>
      <c r="C117" s="205">
        <v>45838</v>
      </c>
      <c r="D117" s="160" t="s">
        <v>70</v>
      </c>
      <c r="E117" s="269" t="s">
        <v>426</v>
      </c>
      <c r="F117" s="160" t="s">
        <v>105</v>
      </c>
      <c r="G117" s="161">
        <v>24</v>
      </c>
      <c r="H117" s="8" t="s">
        <v>60</v>
      </c>
      <c r="I117" s="24" t="s">
        <v>427</v>
      </c>
      <c r="J117" s="162">
        <v>372958</v>
      </c>
      <c r="K117" s="148">
        <f>ROUND(IF(G117=36,J117*9%,0),0)</f>
        <v>0</v>
      </c>
      <c r="L117" s="40">
        <f>ROUND(IF(G117=36,J117*9%,0),0)</f>
        <v>0</v>
      </c>
      <c r="M117" s="40">
        <f>ROUND(IF(G117=36,J117*0%,J117*18%),0)</f>
        <v>67132</v>
      </c>
      <c r="N117" s="406">
        <f>J117+K117+L117+M117</f>
        <v>440090</v>
      </c>
      <c r="O117" s="21">
        <f>J117*0.25%</f>
        <v>932.39499999999998</v>
      </c>
      <c r="P117" s="9">
        <f>O117/J117</f>
        <v>2.5000000000000001E-3</v>
      </c>
      <c r="Q117" s="23">
        <f>372026+67132</f>
        <v>439158</v>
      </c>
      <c r="R117" s="275" t="s">
        <v>543</v>
      </c>
      <c r="S117" s="6" t="s">
        <v>74</v>
      </c>
      <c r="T117" s="10" t="s">
        <v>96</v>
      </c>
      <c r="U117" s="66">
        <f>N117-O117-Q117</f>
        <v>-0.39500000001862645</v>
      </c>
      <c r="V117" s="8" t="s">
        <v>540</v>
      </c>
      <c r="W117" s="383" t="s">
        <v>811</v>
      </c>
      <c r="Z117" s="266">
        <f>J117</f>
        <v>372958</v>
      </c>
      <c r="AA117" s="41">
        <v>0</v>
      </c>
      <c r="AB117" s="41">
        <v>0</v>
      </c>
      <c r="AC117" s="41">
        <v>0</v>
      </c>
      <c r="AD117" s="41">
        <v>0</v>
      </c>
      <c r="AE117" s="236">
        <f>SUM(Z117:AD117)</f>
        <v>372958</v>
      </c>
      <c r="AF117" s="239">
        <f>J117-AE117</f>
        <v>0</v>
      </c>
      <c r="AG117" s="237">
        <f>AF117</f>
        <v>0</v>
      </c>
      <c r="AH117" s="237">
        <v>0</v>
      </c>
      <c r="AI117" s="237"/>
    </row>
    <row r="118" spans="1:35" ht="30" hidden="1" customHeight="1" x14ac:dyDescent="0.3">
      <c r="A118" s="3">
        <f>A117+1</f>
        <v>117</v>
      </c>
      <c r="B118" s="203" t="s">
        <v>305</v>
      </c>
      <c r="C118" s="46">
        <v>45838</v>
      </c>
      <c r="D118" s="146" t="s">
        <v>70</v>
      </c>
      <c r="E118" s="269" t="s">
        <v>429</v>
      </c>
      <c r="F118" s="146" t="s">
        <v>87</v>
      </c>
      <c r="G118" s="147">
        <v>24</v>
      </c>
      <c r="H118" s="8" t="s">
        <v>53</v>
      </c>
      <c r="I118" s="24" t="s">
        <v>431</v>
      </c>
      <c r="J118" s="45">
        <v>55001</v>
      </c>
      <c r="K118" s="148">
        <f>ROUND(IF(G118=36,J118*9%,0),0)</f>
        <v>0</v>
      </c>
      <c r="L118" s="40">
        <f>ROUND(IF(G118=36,J118*9%,0),0)</f>
        <v>0</v>
      </c>
      <c r="M118" s="40">
        <f>ROUND(IF(G118=36,J118*0%,J118*18%),0)</f>
        <v>9900</v>
      </c>
      <c r="N118" s="406">
        <f>J118+K118+L118+M118</f>
        <v>64901</v>
      </c>
      <c r="O118" s="21">
        <f>J118*0.25%</f>
        <v>137.5025</v>
      </c>
      <c r="P118" s="9">
        <f>O118/J118</f>
        <v>2.5000000000000001E-3</v>
      </c>
      <c r="Q118" s="23">
        <f>N118-(J118*0.25%)-M118+9900</f>
        <v>64763.497499999998</v>
      </c>
      <c r="R118" s="270" t="s">
        <v>535</v>
      </c>
      <c r="S118" s="268" t="s">
        <v>74</v>
      </c>
      <c r="T118" s="10" t="s">
        <v>80</v>
      </c>
      <c r="U118" s="66">
        <f>N118-O118-Q118</f>
        <v>0</v>
      </c>
      <c r="V118" s="8" t="s">
        <v>533</v>
      </c>
      <c r="W118" s="7" t="str">
        <f>IF(U118=0,"No Due","Outstanding")</f>
        <v>No Due</v>
      </c>
      <c r="Z118" s="266">
        <v>55001</v>
      </c>
      <c r="AA118" s="41">
        <v>0</v>
      </c>
      <c r="AB118" s="41">
        <v>0</v>
      </c>
      <c r="AC118" s="41">
        <v>0</v>
      </c>
      <c r="AD118" s="41">
        <v>0</v>
      </c>
      <c r="AE118" s="236">
        <f>SUM(Z118:AD118)</f>
        <v>55001</v>
      </c>
      <c r="AF118" s="239">
        <f>J118-AE118</f>
        <v>0</v>
      </c>
      <c r="AG118" s="237">
        <f>AF118</f>
        <v>0</v>
      </c>
      <c r="AH118" s="237">
        <v>0</v>
      </c>
      <c r="AI118" s="237"/>
    </row>
    <row r="119" spans="1:35" ht="30" hidden="1" customHeight="1" x14ac:dyDescent="0.3">
      <c r="A119" s="3">
        <f>A118+1</f>
        <v>118</v>
      </c>
      <c r="B119" s="203" t="s">
        <v>305</v>
      </c>
      <c r="C119" s="46">
        <v>45838</v>
      </c>
      <c r="D119" s="146" t="s">
        <v>70</v>
      </c>
      <c r="E119" s="269" t="s">
        <v>432</v>
      </c>
      <c r="F119" s="146" t="s">
        <v>72</v>
      </c>
      <c r="G119" s="147">
        <v>24</v>
      </c>
      <c r="H119" s="8" t="s">
        <v>61</v>
      </c>
      <c r="I119" s="24" t="s">
        <v>433</v>
      </c>
      <c r="J119" s="45">
        <v>286603</v>
      </c>
      <c r="K119" s="148">
        <f>ROUND(IF(G119=36,J119*9%,0),0)</f>
        <v>0</v>
      </c>
      <c r="L119" s="40">
        <f>ROUND(IF(G119=36,J119*9%,0),0)</f>
        <v>0</v>
      </c>
      <c r="M119" s="40">
        <f>ROUND(IF(G119=36,J119*0%,J119*18%),0)</f>
        <v>51589</v>
      </c>
      <c r="N119" s="406">
        <f>J119+K119+L119+M119</f>
        <v>338192</v>
      </c>
      <c r="O119" s="21">
        <f>J119*2%</f>
        <v>5732.06</v>
      </c>
      <c r="P119" s="9">
        <f>O119/J119</f>
        <v>0.02</v>
      </c>
      <c r="Q119" s="23">
        <f>280871.4+51588.61</f>
        <v>332460.01</v>
      </c>
      <c r="R119" s="259" t="s">
        <v>524</v>
      </c>
      <c r="S119" s="6" t="s">
        <v>74</v>
      </c>
      <c r="T119" s="10" t="s">
        <v>75</v>
      </c>
      <c r="U119" s="66">
        <f>N119-O119-Q119</f>
        <v>-7.0000000006984919E-2</v>
      </c>
      <c r="V119" s="8" t="s">
        <v>523</v>
      </c>
      <c r="W119" s="383" t="s">
        <v>811</v>
      </c>
      <c r="Z119" s="266">
        <v>257803</v>
      </c>
      <c r="AA119" s="41">
        <v>22500</v>
      </c>
      <c r="AB119" s="41">
        <v>0</v>
      </c>
      <c r="AC119" s="41">
        <v>1200</v>
      </c>
      <c r="AD119" s="41">
        <v>0</v>
      </c>
      <c r="AE119" s="236">
        <f>SUM(Z119:AD119)</f>
        <v>281503</v>
      </c>
      <c r="AF119" s="239">
        <f>J119-AE119</f>
        <v>5100</v>
      </c>
      <c r="AG119" s="237">
        <f>AF119</f>
        <v>5100</v>
      </c>
      <c r="AH119" s="237">
        <v>0</v>
      </c>
      <c r="AI119" s="237"/>
    </row>
    <row r="120" spans="1:35" ht="30" hidden="1" customHeight="1" x14ac:dyDescent="0.3">
      <c r="A120" s="3">
        <f>A119+1</f>
        <v>119</v>
      </c>
      <c r="B120" s="203" t="s">
        <v>305</v>
      </c>
      <c r="C120" s="205">
        <v>45838</v>
      </c>
      <c r="D120" s="205" t="s">
        <v>70</v>
      </c>
      <c r="E120" s="269" t="s">
        <v>434</v>
      </c>
      <c r="F120" s="205" t="s">
        <v>87</v>
      </c>
      <c r="G120" s="206">
        <v>24</v>
      </c>
      <c r="H120" s="8" t="s">
        <v>53</v>
      </c>
      <c r="I120" s="24" t="s">
        <v>443</v>
      </c>
      <c r="J120" s="162">
        <v>351096</v>
      </c>
      <c r="K120" s="41">
        <f>ROUND(IF(G120=36,J120*9%,0),0)</f>
        <v>0</v>
      </c>
      <c r="L120" s="201">
        <f>ROUND(IF(G120=36,J120*9%,0),0)</f>
        <v>0</v>
      </c>
      <c r="M120" s="40">
        <f>ROUND(IF(G120=36,J120*0%,J120*18%),0)</f>
        <v>63197</v>
      </c>
      <c r="N120" s="406">
        <f>J120+K120+L120+M120</f>
        <v>414293</v>
      </c>
      <c r="O120" s="21">
        <f>J120*0.25%</f>
        <v>877.74</v>
      </c>
      <c r="P120" s="9">
        <f>O120/J120</f>
        <v>2.5000000000000001E-3</v>
      </c>
      <c r="Q120" s="23">
        <f>N120-(J120*0.25%)-M120+63197</f>
        <v>413415.26</v>
      </c>
      <c r="R120" s="270" t="s">
        <v>535</v>
      </c>
      <c r="S120" s="268" t="s">
        <v>74</v>
      </c>
      <c r="T120" s="10" t="s">
        <v>80</v>
      </c>
      <c r="U120" s="66">
        <f>N120-O120-Q120</f>
        <v>0</v>
      </c>
      <c r="V120" s="8" t="s">
        <v>532</v>
      </c>
      <c r="W120" s="7" t="str">
        <f>IF(U120=0,"No Due","Outstanding")</f>
        <v>No Due</v>
      </c>
      <c r="Z120" s="266">
        <v>304633</v>
      </c>
      <c r="AA120" s="41">
        <v>34915</v>
      </c>
      <c r="AB120" s="41">
        <v>0</v>
      </c>
      <c r="AC120" s="41">
        <v>2000</v>
      </c>
      <c r="AD120" s="41">
        <v>198</v>
      </c>
      <c r="AE120" s="236">
        <f>SUM(Z120:AD120)</f>
        <v>341746</v>
      </c>
      <c r="AF120" s="239">
        <f>J120-AE120</f>
        <v>9350</v>
      </c>
      <c r="AG120" s="237">
        <f>AF120</f>
        <v>9350</v>
      </c>
      <c r="AH120" s="237">
        <v>0</v>
      </c>
      <c r="AI120" s="237"/>
    </row>
    <row r="121" spans="1:35" ht="30" hidden="1" customHeight="1" x14ac:dyDescent="0.3">
      <c r="A121" s="3">
        <f>A120+1</f>
        <v>120</v>
      </c>
      <c r="B121" s="203" t="s">
        <v>305</v>
      </c>
      <c r="C121" s="205">
        <v>45838</v>
      </c>
      <c r="D121" s="205" t="s">
        <v>70</v>
      </c>
      <c r="E121" s="269" t="s">
        <v>437</v>
      </c>
      <c r="F121" s="205" t="s">
        <v>94</v>
      </c>
      <c r="G121" s="206">
        <v>24</v>
      </c>
      <c r="H121" s="8" t="s">
        <v>50</v>
      </c>
      <c r="I121" s="24" t="s">
        <v>440</v>
      </c>
      <c r="J121" s="162">
        <v>4151549</v>
      </c>
      <c r="K121" s="41">
        <f>ROUND(IF(G121=36,J121*9%,0),0)</f>
        <v>0</v>
      </c>
      <c r="L121" s="201">
        <f>ROUND(IF(G121=36,J121*9%,0),0)</f>
        <v>0</v>
      </c>
      <c r="M121" s="40">
        <f>ROUND(IF(G121=36,J121*0%,J121*18%),0)</f>
        <v>747279</v>
      </c>
      <c r="N121" s="406">
        <f>J121+K121+L121+M121</f>
        <v>4898828</v>
      </c>
      <c r="O121" s="21">
        <f>J121*0.25%</f>
        <v>10378.872499999999</v>
      </c>
      <c r="P121" s="9">
        <f>O121/J121</f>
        <v>2.5000000000000001E-3</v>
      </c>
      <c r="Q121" s="23">
        <f>4141171.38+747278</f>
        <v>4888449.38</v>
      </c>
      <c r="R121" s="246" t="s">
        <v>482</v>
      </c>
      <c r="S121" s="6" t="s">
        <v>74</v>
      </c>
      <c r="T121" s="10" t="s">
        <v>96</v>
      </c>
      <c r="U121" s="66">
        <f>N121-O121-Q121</f>
        <v>-0.25249999947845936</v>
      </c>
      <c r="V121" s="8" t="s">
        <v>486</v>
      </c>
      <c r="W121" s="383" t="s">
        <v>811</v>
      </c>
      <c r="Z121" s="266">
        <v>3201675</v>
      </c>
      <c r="AA121" s="41">
        <v>667150</v>
      </c>
      <c r="AB121" s="41">
        <v>0</v>
      </c>
      <c r="AC121" s="41">
        <v>28000</v>
      </c>
      <c r="AD121" s="41">
        <v>5424</v>
      </c>
      <c r="AE121" s="236">
        <f>SUM(Z121:AD121)</f>
        <v>3902249</v>
      </c>
      <c r="AF121" s="239">
        <f>J121-AE121</f>
        <v>249300</v>
      </c>
      <c r="AG121" s="237">
        <f>AF121</f>
        <v>249300</v>
      </c>
      <c r="AH121" s="237">
        <v>0</v>
      </c>
      <c r="AI121" s="237"/>
    </row>
    <row r="122" spans="1:35" ht="30" hidden="1" customHeight="1" x14ac:dyDescent="0.3">
      <c r="A122" s="3">
        <f>A121+1</f>
        <v>121</v>
      </c>
      <c r="B122" s="203" t="s">
        <v>305</v>
      </c>
      <c r="C122" s="205">
        <v>45838</v>
      </c>
      <c r="D122" s="205" t="s">
        <v>70</v>
      </c>
      <c r="E122" s="269" t="s">
        <v>438</v>
      </c>
      <c r="F122" s="205" t="s">
        <v>94</v>
      </c>
      <c r="G122" s="206">
        <v>24</v>
      </c>
      <c r="H122" s="8" t="s">
        <v>50</v>
      </c>
      <c r="I122" s="24" t="s">
        <v>441</v>
      </c>
      <c r="J122" s="162">
        <v>582877</v>
      </c>
      <c r="K122" s="41">
        <f>ROUND(IF(G122=36,J122*9%,0),0)</f>
        <v>0</v>
      </c>
      <c r="L122" s="201">
        <f>ROUND(IF(G122=36,J122*9%,0),0)</f>
        <v>0</v>
      </c>
      <c r="M122" s="40">
        <f>ROUND(IF(G122=36,J122*0%,J122*18%),0)</f>
        <v>104918</v>
      </c>
      <c r="N122" s="406">
        <f>J122+K122+L122+M122</f>
        <v>687795</v>
      </c>
      <c r="O122" s="21">
        <f>J122*0.25%</f>
        <v>1457.1925000000001</v>
      </c>
      <c r="P122" s="9">
        <f>O122/J122</f>
        <v>2.5000000000000001E-3</v>
      </c>
      <c r="Q122" s="23">
        <f>581420+104918</f>
        <v>686338</v>
      </c>
      <c r="R122" s="273" t="s">
        <v>536</v>
      </c>
      <c r="S122" s="6" t="s">
        <v>74</v>
      </c>
      <c r="T122" s="10" t="s">
        <v>96</v>
      </c>
      <c r="U122" s="66">
        <f>N122-O122-Q122</f>
        <v>-0.19250000000465661</v>
      </c>
      <c r="V122" s="8" t="s">
        <v>537</v>
      </c>
      <c r="W122" s="383" t="s">
        <v>811</v>
      </c>
      <c r="Z122" s="266">
        <v>479136</v>
      </c>
      <c r="AA122" s="41">
        <v>77673</v>
      </c>
      <c r="AB122" s="41">
        <v>0</v>
      </c>
      <c r="AC122" s="41">
        <v>4000</v>
      </c>
      <c r="AD122" s="41">
        <v>468</v>
      </c>
      <c r="AE122" s="236">
        <f>SUM(Z122:AD122)</f>
        <v>561277</v>
      </c>
      <c r="AF122" s="239">
        <f>J122-AE122</f>
        <v>21600</v>
      </c>
      <c r="AG122" s="237">
        <f>AF122</f>
        <v>21600</v>
      </c>
      <c r="AH122" s="237">
        <v>0</v>
      </c>
      <c r="AI122" s="237"/>
    </row>
    <row r="123" spans="1:35" ht="30" hidden="1" customHeight="1" x14ac:dyDescent="0.3">
      <c r="A123" s="3">
        <f>A122+1</f>
        <v>122</v>
      </c>
      <c r="B123" s="154" t="s">
        <v>305</v>
      </c>
      <c r="C123" s="205">
        <v>45838</v>
      </c>
      <c r="D123" s="205" t="s">
        <v>70</v>
      </c>
      <c r="E123" s="269" t="s">
        <v>448</v>
      </c>
      <c r="F123" s="205" t="s">
        <v>87</v>
      </c>
      <c r="G123" s="206">
        <v>24</v>
      </c>
      <c r="H123" s="8" t="s">
        <v>53</v>
      </c>
      <c r="I123" s="24" t="s">
        <v>450</v>
      </c>
      <c r="J123" s="162">
        <v>532123</v>
      </c>
      <c r="K123" s="148">
        <f>ROUND(IF(G123=36,J123*9%,0),0)</f>
        <v>0</v>
      </c>
      <c r="L123" s="40">
        <f>ROUND(IF(G123=36,J123*9%,0),0)</f>
        <v>0</v>
      </c>
      <c r="M123" s="40">
        <f>ROUND(IF(G123=36,J123*0%,J123*18%),0)</f>
        <v>95782</v>
      </c>
      <c r="N123" s="406">
        <f>J123+K123+L123+M123</f>
        <v>627905</v>
      </c>
      <c r="O123" s="233">
        <f>J123*0.25%</f>
        <v>1330.3075000000001</v>
      </c>
      <c r="P123" s="234">
        <f>O123/J123</f>
        <v>2.5000000000000001E-3</v>
      </c>
      <c r="Q123" s="41">
        <f>N123-O123-M123+95782</f>
        <v>626574.6925</v>
      </c>
      <c r="R123" s="246" t="s">
        <v>490</v>
      </c>
      <c r="S123" s="6" t="s">
        <v>74</v>
      </c>
      <c r="T123" s="10" t="s">
        <v>80</v>
      </c>
      <c r="U123" s="66">
        <f>N123-O123-Q123</f>
        <v>0</v>
      </c>
      <c r="V123" s="8" t="s">
        <v>495</v>
      </c>
      <c r="W123" s="7" t="str">
        <f>IF(U123=0,"No Due","Outstanding")</f>
        <v>No Due</v>
      </c>
      <c r="Z123" s="266">
        <v>442233</v>
      </c>
      <c r="AA123" s="41">
        <v>62330</v>
      </c>
      <c r="AB123" s="41">
        <v>0</v>
      </c>
      <c r="AC123" s="41">
        <v>3800</v>
      </c>
      <c r="AD123" s="41">
        <v>510</v>
      </c>
      <c r="AE123" s="236">
        <f>SUM(Z123:AD123)</f>
        <v>508873</v>
      </c>
      <c r="AF123" s="239">
        <f>J123-AE123</f>
        <v>23250</v>
      </c>
      <c r="AG123" s="237">
        <f>AF123</f>
        <v>23250</v>
      </c>
      <c r="AH123" s="237">
        <v>0</v>
      </c>
      <c r="AI123" s="237"/>
    </row>
    <row r="124" spans="1:35" ht="30" hidden="1" customHeight="1" x14ac:dyDescent="0.3">
      <c r="A124" s="3">
        <f>A123+1</f>
        <v>123</v>
      </c>
      <c r="B124" s="203" t="s">
        <v>305</v>
      </c>
      <c r="C124" s="205">
        <v>45838</v>
      </c>
      <c r="D124" s="205" t="s">
        <v>70</v>
      </c>
      <c r="E124" s="269" t="s">
        <v>449</v>
      </c>
      <c r="F124" s="205" t="s">
        <v>87</v>
      </c>
      <c r="G124" s="206">
        <v>24</v>
      </c>
      <c r="H124" s="8" t="s">
        <v>53</v>
      </c>
      <c r="I124" s="24" t="s">
        <v>451</v>
      </c>
      <c r="J124" s="162">
        <v>4887331</v>
      </c>
      <c r="K124" s="41">
        <f>ROUND(IF(G124=36,J124*9%,0),0)</f>
        <v>0</v>
      </c>
      <c r="L124" s="201">
        <f>ROUND(IF(G124=36,J124*9%,0),0)</f>
        <v>0</v>
      </c>
      <c r="M124" s="40">
        <f>ROUND(IF(G124=36,J124*0%,J124*18%),0)</f>
        <v>879720</v>
      </c>
      <c r="N124" s="406">
        <f>J124+K124+L124+M124</f>
        <v>5767051</v>
      </c>
      <c r="O124" s="21">
        <f>J124*0.25%</f>
        <v>12218.327499999999</v>
      </c>
      <c r="P124" s="9">
        <f>O124/J124</f>
        <v>2.5000000000000001E-3</v>
      </c>
      <c r="Q124" s="23">
        <f>4875113.36+879719</f>
        <v>5754832.3600000003</v>
      </c>
      <c r="R124" s="246" t="s">
        <v>482</v>
      </c>
      <c r="S124" s="6" t="s">
        <v>74</v>
      </c>
      <c r="T124" s="10" t="s">
        <v>80</v>
      </c>
      <c r="U124" s="66">
        <f>N124-O124-Q124</f>
        <v>0.3125</v>
      </c>
      <c r="V124" s="8" t="s">
        <v>496</v>
      </c>
      <c r="W124" s="383" t="s">
        <v>811</v>
      </c>
      <c r="Z124" s="266">
        <v>3970390</v>
      </c>
      <c r="AA124" s="41">
        <v>637141</v>
      </c>
      <c r="AB124" s="41">
        <v>0</v>
      </c>
      <c r="AC124" s="41">
        <v>33800</v>
      </c>
      <c r="AD124" s="41">
        <v>5250</v>
      </c>
      <c r="AE124" s="236">
        <f>SUM(Z124:AD124)</f>
        <v>4646581</v>
      </c>
      <c r="AF124" s="239">
        <f>J124-AE124</f>
        <v>240750</v>
      </c>
      <c r="AG124" s="237">
        <f>AF124</f>
        <v>240750</v>
      </c>
      <c r="AH124" s="237">
        <v>0</v>
      </c>
      <c r="AI124" s="237"/>
    </row>
    <row r="125" spans="1:35" ht="30" hidden="1" customHeight="1" x14ac:dyDescent="0.3">
      <c r="A125" s="3">
        <f>A124+1</f>
        <v>124</v>
      </c>
      <c r="B125" s="243" t="s">
        <v>444</v>
      </c>
      <c r="C125" s="46">
        <v>45840</v>
      </c>
      <c r="D125" s="164" t="s">
        <v>70</v>
      </c>
      <c r="E125" s="269" t="s">
        <v>445</v>
      </c>
      <c r="F125" s="260" t="s">
        <v>134</v>
      </c>
      <c r="G125" s="261">
        <v>10</v>
      </c>
      <c r="H125" s="8" t="s">
        <v>39</v>
      </c>
      <c r="I125" s="24" t="s">
        <v>447</v>
      </c>
      <c r="J125" s="45">
        <v>39001</v>
      </c>
      <c r="K125" s="166">
        <f>ROUND(IF(G125=36,J125*9%,0),0)</f>
        <v>0</v>
      </c>
      <c r="L125" s="40">
        <f>ROUND(IF(G125=36,J125*9%,0),0)</f>
        <v>0</v>
      </c>
      <c r="M125" s="40">
        <f>ROUND(IF(G125=36,J125*0%,J125*18%),0)</f>
        <v>7020</v>
      </c>
      <c r="N125" s="406">
        <f>J125+K125+L125+M125</f>
        <v>46021</v>
      </c>
      <c r="O125" s="21">
        <f>N125-Q125</f>
        <v>781</v>
      </c>
      <c r="P125" s="9">
        <f>O125/J125</f>
        <v>2.0025127560831774E-2</v>
      </c>
      <c r="Q125" s="23">
        <f>45240</f>
        <v>45240</v>
      </c>
      <c r="R125" s="67">
        <v>45856</v>
      </c>
      <c r="S125" s="6" t="s">
        <v>74</v>
      </c>
      <c r="T125" s="10" t="s">
        <v>136</v>
      </c>
      <c r="U125" s="66">
        <f>N125-O125-Q125</f>
        <v>0</v>
      </c>
      <c r="V125" s="8"/>
      <c r="W125" s="7" t="str">
        <f>IF(U125=0,"No Due","Outstanding")</f>
        <v>No Due</v>
      </c>
      <c r="Z125" s="266">
        <v>34201</v>
      </c>
      <c r="AA125" s="41">
        <v>3750</v>
      </c>
      <c r="AB125" s="41">
        <v>0</v>
      </c>
      <c r="AC125" s="41">
        <v>200</v>
      </c>
      <c r="AD125" s="41">
        <v>0</v>
      </c>
      <c r="AE125" s="236">
        <f>SUM(Z125:AD125)</f>
        <v>38151</v>
      </c>
      <c r="AF125" s="239">
        <f>J125-AE125</f>
        <v>850</v>
      </c>
      <c r="AG125" s="237">
        <f>AF125</f>
        <v>850</v>
      </c>
      <c r="AH125" s="237">
        <v>0</v>
      </c>
      <c r="AI125" s="237"/>
    </row>
    <row r="126" spans="1:35" ht="30" hidden="1" customHeight="1" x14ac:dyDescent="0.3">
      <c r="A126" s="3">
        <f>A125+1</f>
        <v>125</v>
      </c>
      <c r="B126" s="243" t="s">
        <v>444</v>
      </c>
      <c r="C126" s="46">
        <v>45840</v>
      </c>
      <c r="D126" s="164" t="s">
        <v>70</v>
      </c>
      <c r="E126" s="269" t="s">
        <v>446</v>
      </c>
      <c r="F126" s="260" t="s">
        <v>134</v>
      </c>
      <c r="G126" s="261">
        <v>10</v>
      </c>
      <c r="H126" s="8" t="s">
        <v>39</v>
      </c>
      <c r="I126" s="24" t="s">
        <v>447</v>
      </c>
      <c r="J126" s="45">
        <v>60709</v>
      </c>
      <c r="K126" s="166">
        <f>ROUND(IF(G126=36,J126*9%,0),0)</f>
        <v>0</v>
      </c>
      <c r="L126" s="40">
        <f>ROUND(IF(G126=36,J126*9%,0),0)</f>
        <v>0</v>
      </c>
      <c r="M126" s="40">
        <f>ROUND(IF(G126=36,J126*0%,J126*18%),0)</f>
        <v>10928</v>
      </c>
      <c r="N126" s="406">
        <f>J126+K126+L126+M126</f>
        <v>71637</v>
      </c>
      <c r="O126" s="21">
        <f>N126-Q126</f>
        <v>1214.3800000000047</v>
      </c>
      <c r="P126" s="9">
        <f>O126/J126</f>
        <v>2.000329440445411E-2</v>
      </c>
      <c r="Q126" s="23">
        <v>70422.62</v>
      </c>
      <c r="R126" s="67">
        <v>45856</v>
      </c>
      <c r="S126" s="6" t="s">
        <v>74</v>
      </c>
      <c r="T126" s="10" t="s">
        <v>136</v>
      </c>
      <c r="U126" s="66">
        <f>N126-O126-Q126</f>
        <v>0</v>
      </c>
      <c r="V126" s="8"/>
      <c r="W126" s="7" t="str">
        <f>IF(U126=0,"No Due","Outstanding")</f>
        <v>No Due</v>
      </c>
      <c r="Z126" s="266">
        <v>55909</v>
      </c>
      <c r="AA126" s="41">
        <v>3750</v>
      </c>
      <c r="AB126" s="41">
        <v>0</v>
      </c>
      <c r="AC126" s="41">
        <v>200</v>
      </c>
      <c r="AD126" s="41">
        <v>0</v>
      </c>
      <c r="AE126" s="236">
        <f>SUM(Z126:AD126)</f>
        <v>59859</v>
      </c>
      <c r="AF126" s="239">
        <f>J126-AE126</f>
        <v>850</v>
      </c>
      <c r="AG126" s="237">
        <f>AF126</f>
        <v>850</v>
      </c>
      <c r="AH126" s="237">
        <v>0</v>
      </c>
      <c r="AI126" s="237"/>
    </row>
    <row r="127" spans="1:35" ht="30" hidden="1" customHeight="1" x14ac:dyDescent="0.3">
      <c r="A127" s="3">
        <f>A126+1</f>
        <v>126</v>
      </c>
      <c r="B127" s="243" t="s">
        <v>444</v>
      </c>
      <c r="C127" s="46">
        <v>45840</v>
      </c>
      <c r="D127" s="123" t="s">
        <v>70</v>
      </c>
      <c r="E127" s="284" t="s">
        <v>452</v>
      </c>
      <c r="F127" s="260" t="s">
        <v>142</v>
      </c>
      <c r="G127" s="261">
        <v>24</v>
      </c>
      <c r="H127" s="8" t="s">
        <v>46</v>
      </c>
      <c r="I127" s="24" t="s">
        <v>453</v>
      </c>
      <c r="J127" s="45">
        <v>282385</v>
      </c>
      <c r="K127" s="125">
        <f>ROUND(IF(G127=36,J127*9%,0),0)</f>
        <v>0</v>
      </c>
      <c r="L127" s="40">
        <f>ROUND(IF(G127=36,J127*9%,0),0)</f>
        <v>0</v>
      </c>
      <c r="M127" s="40">
        <f>ROUND(IF(G127=36,J127*0%,J127*18%),0)</f>
        <v>50829</v>
      </c>
      <c r="N127" s="406">
        <f>J127+K127+L127+M127</f>
        <v>333214</v>
      </c>
      <c r="O127" s="21">
        <f>J127*2%</f>
        <v>5647.7</v>
      </c>
      <c r="P127" s="9">
        <f>O127/J127</f>
        <v>0.02</v>
      </c>
      <c r="Q127" s="23">
        <v>327566.3</v>
      </c>
      <c r="R127" s="67">
        <v>45869</v>
      </c>
      <c r="S127" s="6" t="s">
        <v>74</v>
      </c>
      <c r="T127" s="10" t="s">
        <v>96</v>
      </c>
      <c r="U127" s="66">
        <f>N127-O127-Q127</f>
        <v>0</v>
      </c>
      <c r="V127" s="8"/>
      <c r="W127" s="7" t="str">
        <f>IF(U127=0,"No Due","Outstanding")</f>
        <v>No Due</v>
      </c>
      <c r="Z127" s="266">
        <v>259768</v>
      </c>
      <c r="AA127" s="41">
        <v>17567</v>
      </c>
      <c r="AB127" s="41">
        <v>0</v>
      </c>
      <c r="AC127" s="41">
        <v>800</v>
      </c>
      <c r="AD127" s="41">
        <v>0</v>
      </c>
      <c r="AE127" s="236">
        <f>SUM(Z127:AD127)</f>
        <v>278135</v>
      </c>
      <c r="AF127" s="239">
        <f>J127-AE127</f>
        <v>4250</v>
      </c>
      <c r="AG127" s="237">
        <f>AF127</f>
        <v>4250</v>
      </c>
      <c r="AH127" s="237">
        <v>0</v>
      </c>
      <c r="AI127" s="237"/>
    </row>
    <row r="128" spans="1:35" ht="30" hidden="1" customHeight="1" x14ac:dyDescent="0.3">
      <c r="A128" s="3">
        <f>A127+1</f>
        <v>127</v>
      </c>
      <c r="B128" s="203" t="s">
        <v>444</v>
      </c>
      <c r="C128" s="46">
        <v>45842</v>
      </c>
      <c r="D128" s="146" t="s">
        <v>70</v>
      </c>
      <c r="E128" s="269" t="s">
        <v>455</v>
      </c>
      <c r="F128" s="146" t="s">
        <v>87</v>
      </c>
      <c r="G128" s="147">
        <v>24</v>
      </c>
      <c r="H128" s="8" t="s">
        <v>53</v>
      </c>
      <c r="I128" s="24" t="s">
        <v>454</v>
      </c>
      <c r="J128" s="45">
        <v>91052</v>
      </c>
      <c r="K128" s="148">
        <f>ROUND(IF(G128=36,J128*9%,0),0)</f>
        <v>0</v>
      </c>
      <c r="L128" s="40">
        <f>ROUND(IF(G128=36,J128*9%,0),0)</f>
        <v>0</v>
      </c>
      <c r="M128" s="40">
        <f>ROUND(IF(G128=36,J128*0%,J128*18%),0)</f>
        <v>16389</v>
      </c>
      <c r="N128" s="406">
        <f>J128+K128+L128+M128</f>
        <v>107441</v>
      </c>
      <c r="O128" s="233">
        <f>J128*0.25%+955</f>
        <v>1182.6300000000001</v>
      </c>
      <c r="P128" s="9">
        <f>O128/J128</f>
        <v>1.2988512059043186E-2</v>
      </c>
      <c r="Q128" s="41">
        <f>89868.75+16389.62</f>
        <v>106258.37</v>
      </c>
      <c r="R128" s="288" t="s">
        <v>581</v>
      </c>
      <c r="S128" s="6" t="s">
        <v>74</v>
      </c>
      <c r="T128" s="10" t="s">
        <v>80</v>
      </c>
      <c r="U128" s="66">
        <f>N128-O128-Q128</f>
        <v>0</v>
      </c>
      <c r="V128" s="8" t="s">
        <v>577</v>
      </c>
      <c r="W128" s="7" t="str">
        <f>IF(U128=0,"No Due","Outstanding")</f>
        <v>No Due</v>
      </c>
      <c r="Z128" s="266">
        <v>55249</v>
      </c>
      <c r="AA128" s="41">
        <v>12253</v>
      </c>
      <c r="AB128" s="41">
        <v>0</v>
      </c>
      <c r="AC128" s="41">
        <v>0</v>
      </c>
      <c r="AD128" s="41">
        <v>0</v>
      </c>
      <c r="AE128" s="236">
        <f>SUM(Z128:AD128)</f>
        <v>67502</v>
      </c>
      <c r="AF128" s="239">
        <f>J128-AE128</f>
        <v>23550</v>
      </c>
      <c r="AG128" s="237">
        <f>AF128</f>
        <v>23550</v>
      </c>
      <c r="AH128" s="237">
        <v>0</v>
      </c>
      <c r="AI128" s="237"/>
    </row>
    <row r="129" spans="1:35" ht="30" hidden="1" customHeight="1" x14ac:dyDescent="0.3">
      <c r="A129" s="3">
        <f>A128+1</f>
        <v>128</v>
      </c>
      <c r="B129" s="243" t="s">
        <v>444</v>
      </c>
      <c r="C129" s="46">
        <v>45845</v>
      </c>
      <c r="D129" s="146" t="s">
        <v>70</v>
      </c>
      <c r="E129" s="269" t="s">
        <v>456</v>
      </c>
      <c r="F129" s="260" t="s">
        <v>72</v>
      </c>
      <c r="G129" s="261">
        <v>24</v>
      </c>
      <c r="H129" s="8" t="s">
        <v>61</v>
      </c>
      <c r="I129" s="24" t="s">
        <v>462</v>
      </c>
      <c r="J129" s="162">
        <v>962943</v>
      </c>
      <c r="K129" s="148">
        <f>ROUND(IF(G129=36,J129*9%,0),0)</f>
        <v>0</v>
      </c>
      <c r="L129" s="40">
        <f>ROUND(IF(G129=36,J129*9%,0),0)</f>
        <v>0</v>
      </c>
      <c r="M129" s="40">
        <f>ROUND(IF(G129=36,J129*0%,J129*18%),0)</f>
        <v>173330</v>
      </c>
      <c r="N129" s="406">
        <f>J129+K129+L129+M129</f>
        <v>1136273</v>
      </c>
      <c r="O129" s="21">
        <f>J129*2%</f>
        <v>19258.86</v>
      </c>
      <c r="P129" s="9">
        <f>O129/J129</f>
        <v>0.02</v>
      </c>
      <c r="Q129" s="23">
        <f>N129-O129</f>
        <v>1117014.1399999999</v>
      </c>
      <c r="R129" s="67">
        <v>45848</v>
      </c>
      <c r="S129" s="6" t="s">
        <v>74</v>
      </c>
      <c r="T129" s="10" t="s">
        <v>248</v>
      </c>
      <c r="U129" s="66">
        <f>N129-O129-Q129</f>
        <v>0</v>
      </c>
      <c r="V129" s="8"/>
      <c r="W129" s="7" t="str">
        <f>IF(U129=0,"No Due","Outstanding")</f>
        <v>No Due</v>
      </c>
      <c r="Z129" s="266">
        <v>810641</v>
      </c>
      <c r="AA129" s="41">
        <v>88915</v>
      </c>
      <c r="AB129" s="41">
        <v>4338.6000000000013</v>
      </c>
      <c r="AC129" s="41">
        <v>2100</v>
      </c>
      <c r="AD129" s="41">
        <v>0</v>
      </c>
      <c r="AE129" s="236">
        <f>SUM(Z129:AD129)</f>
        <v>905994.6</v>
      </c>
      <c r="AF129" s="239">
        <f>J129-AE129</f>
        <v>56948.400000000023</v>
      </c>
      <c r="AG129" s="237">
        <f>AF129</f>
        <v>56948.400000000023</v>
      </c>
      <c r="AH129" s="237">
        <v>0</v>
      </c>
      <c r="AI129" s="237"/>
    </row>
    <row r="130" spans="1:35" ht="30" hidden="1" customHeight="1" x14ac:dyDescent="0.3">
      <c r="A130" s="3">
        <f>A129+1</f>
        <v>129</v>
      </c>
      <c r="B130" s="243" t="s">
        <v>444</v>
      </c>
      <c r="C130" s="46">
        <v>45845</v>
      </c>
      <c r="D130" s="146" t="s">
        <v>70</v>
      </c>
      <c r="E130" s="269" t="s">
        <v>457</v>
      </c>
      <c r="F130" s="260" t="s">
        <v>110</v>
      </c>
      <c r="G130" s="261">
        <v>37</v>
      </c>
      <c r="H130" s="8" t="s">
        <v>59</v>
      </c>
      <c r="I130" s="24" t="s">
        <v>468</v>
      </c>
      <c r="J130" s="162">
        <v>1000456</v>
      </c>
      <c r="K130" s="148">
        <f>ROUND(IF(G130=36,J130*9%,0),0)</f>
        <v>0</v>
      </c>
      <c r="L130" s="40">
        <f>ROUND(IF(G130=36,J130*9%,0),0)</f>
        <v>0</v>
      </c>
      <c r="M130" s="40">
        <f>ROUND(IF(G130=36,J130*0%,J130*18%),0)</f>
        <v>180082</v>
      </c>
      <c r="N130" s="406">
        <f>J130+K130+L130+M130</f>
        <v>1180538</v>
      </c>
      <c r="O130" s="21">
        <f>J130*0.25%</f>
        <v>2501.14</v>
      </c>
      <c r="P130" s="9">
        <f>O130/J130</f>
        <v>2.5000000000000001E-3</v>
      </c>
      <c r="Q130" s="23">
        <f>N130-O130</f>
        <v>1178036.8600000001</v>
      </c>
      <c r="R130" s="67">
        <v>45848</v>
      </c>
      <c r="S130" s="6" t="s">
        <v>74</v>
      </c>
      <c r="T130" s="10" t="s">
        <v>248</v>
      </c>
      <c r="U130" s="66">
        <f>N130-O130-Q130</f>
        <v>0</v>
      </c>
      <c r="V130" s="8"/>
      <c r="W130" s="7" t="str">
        <f>IF(U130=0,"No Due","Outstanding")</f>
        <v>No Due</v>
      </c>
      <c r="Z130" s="266">
        <v>826730</v>
      </c>
      <c r="AA130" s="41">
        <v>123997</v>
      </c>
      <c r="AB130" s="41">
        <v>1378.8000000000002</v>
      </c>
      <c r="AC130" s="41">
        <v>5500</v>
      </c>
      <c r="AD130" s="41">
        <v>0</v>
      </c>
      <c r="AE130" s="236">
        <f>SUM(Z130:AD130)</f>
        <v>957605.8</v>
      </c>
      <c r="AF130" s="239">
        <f>J130-AE130</f>
        <v>42850.199999999953</v>
      </c>
      <c r="AG130" s="237">
        <f>AF130</f>
        <v>42850.199999999953</v>
      </c>
      <c r="AH130" s="237">
        <v>0</v>
      </c>
      <c r="AI130" s="237"/>
    </row>
    <row r="131" spans="1:35" ht="30" hidden="1" customHeight="1" x14ac:dyDescent="0.3">
      <c r="A131" s="3">
        <f>A130+1</f>
        <v>130</v>
      </c>
      <c r="B131" s="243" t="s">
        <v>444</v>
      </c>
      <c r="C131" s="46">
        <v>45845</v>
      </c>
      <c r="D131" s="146" t="s">
        <v>70</v>
      </c>
      <c r="E131" s="269" t="s">
        <v>458</v>
      </c>
      <c r="F131" s="260" t="s">
        <v>110</v>
      </c>
      <c r="G131" s="261">
        <v>37</v>
      </c>
      <c r="H131" s="8" t="s">
        <v>59</v>
      </c>
      <c r="I131" s="24" t="s">
        <v>463</v>
      </c>
      <c r="J131" s="162">
        <v>1188324</v>
      </c>
      <c r="K131" s="148">
        <f>ROUND(IF(G131=36,J131*9%,0),0)</f>
        <v>0</v>
      </c>
      <c r="L131" s="40">
        <f>ROUND(IF(G131=36,J131*9%,0),0)</f>
        <v>0</v>
      </c>
      <c r="M131" s="40">
        <f>ROUND(IF(G131=36,J131*0%,J131*18%),0)</f>
        <v>213898</v>
      </c>
      <c r="N131" s="406">
        <f>J131+K131+L131+M131</f>
        <v>1402222</v>
      </c>
      <c r="O131" s="21">
        <f>J131*0.25%</f>
        <v>2970.81</v>
      </c>
      <c r="P131" s="9">
        <f>O131/J131</f>
        <v>2.5000000000000001E-3</v>
      </c>
      <c r="Q131" s="23">
        <f>N131-O131</f>
        <v>1399251.19</v>
      </c>
      <c r="R131" s="67">
        <v>45848</v>
      </c>
      <c r="S131" s="6" t="s">
        <v>74</v>
      </c>
      <c r="T131" s="10" t="s">
        <v>248</v>
      </c>
      <c r="U131" s="66">
        <f>N131-O131-Q131</f>
        <v>0</v>
      </c>
      <c r="V131" s="8"/>
      <c r="W131" s="7" t="str">
        <f>IF(U131=0,"No Due","Outstanding")</f>
        <v>No Due</v>
      </c>
      <c r="Z131" s="266">
        <v>1007378</v>
      </c>
      <c r="AA131" s="41">
        <v>124787</v>
      </c>
      <c r="AB131" s="41">
        <v>1410.16</v>
      </c>
      <c r="AC131" s="41">
        <v>4600</v>
      </c>
      <c r="AD131" s="41">
        <v>0</v>
      </c>
      <c r="AE131" s="236">
        <f>SUM(Z131:AD131)</f>
        <v>1138175.1599999999</v>
      </c>
      <c r="AF131" s="239">
        <f>J131-AE131</f>
        <v>50148.840000000084</v>
      </c>
      <c r="AG131" s="237">
        <f>AF131</f>
        <v>50148.840000000084</v>
      </c>
      <c r="AH131" s="237">
        <v>0</v>
      </c>
      <c r="AI131" s="237"/>
    </row>
    <row r="132" spans="1:35" ht="30" hidden="1" customHeight="1" x14ac:dyDescent="0.3">
      <c r="A132" s="3">
        <f>A131+1</f>
        <v>131</v>
      </c>
      <c r="B132" s="243" t="s">
        <v>444</v>
      </c>
      <c r="C132" s="46">
        <v>45845</v>
      </c>
      <c r="D132" s="146" t="s">
        <v>70</v>
      </c>
      <c r="E132" s="269" t="s">
        <v>459</v>
      </c>
      <c r="F132" s="260" t="s">
        <v>110</v>
      </c>
      <c r="G132" s="261">
        <v>37</v>
      </c>
      <c r="H132" s="8" t="s">
        <v>59</v>
      </c>
      <c r="I132" s="24" t="s">
        <v>469</v>
      </c>
      <c r="J132" s="162">
        <v>1466084</v>
      </c>
      <c r="K132" s="148">
        <f>ROUND(IF(G132=36,J132*9%,0),0)</f>
        <v>0</v>
      </c>
      <c r="L132" s="40">
        <f>ROUND(IF(G132=36,J132*9%,0),0)</f>
        <v>0</v>
      </c>
      <c r="M132" s="40">
        <f>ROUND(IF(G132=36,J132*0%,J132*18%),0)</f>
        <v>263895</v>
      </c>
      <c r="N132" s="406">
        <f>J132+K132+L132+M132</f>
        <v>1729979</v>
      </c>
      <c r="O132" s="21">
        <f>J132*0.25%</f>
        <v>3665.21</v>
      </c>
      <c r="P132" s="9">
        <f>O132/J132</f>
        <v>2.5000000000000001E-3</v>
      </c>
      <c r="Q132" s="23">
        <f>N132-O132</f>
        <v>1726313.79</v>
      </c>
      <c r="R132" s="67">
        <v>45848</v>
      </c>
      <c r="S132" s="6" t="s">
        <v>74</v>
      </c>
      <c r="T132" s="10" t="s">
        <v>248</v>
      </c>
      <c r="U132" s="66">
        <f>N132-O132-Q132</f>
        <v>0</v>
      </c>
      <c r="V132" s="8"/>
      <c r="W132" s="7" t="str">
        <f>IF(U132=0,"No Due","Outstanding")</f>
        <v>No Due</v>
      </c>
      <c r="Z132" s="266">
        <v>1230419</v>
      </c>
      <c r="AA132" s="41">
        <v>155384</v>
      </c>
      <c r="AB132" s="41">
        <v>2132.2000000000003</v>
      </c>
      <c r="AC132" s="41">
        <v>5100</v>
      </c>
      <c r="AD132" s="41">
        <v>0</v>
      </c>
      <c r="AE132" s="236">
        <f>SUM(Z132:AD132)</f>
        <v>1393035.2</v>
      </c>
      <c r="AF132" s="239">
        <f>J132-AE132</f>
        <v>73048.800000000047</v>
      </c>
      <c r="AG132" s="237">
        <f>AF132</f>
        <v>73048.800000000047</v>
      </c>
      <c r="AH132" s="237">
        <v>0</v>
      </c>
      <c r="AI132" s="237"/>
    </row>
    <row r="133" spans="1:35" ht="30" hidden="1" customHeight="1" x14ac:dyDescent="0.3">
      <c r="A133" s="3">
        <f>A132+1</f>
        <v>132</v>
      </c>
      <c r="B133" s="243" t="s">
        <v>444</v>
      </c>
      <c r="C133" s="46">
        <v>45845</v>
      </c>
      <c r="D133" s="146" t="s">
        <v>70</v>
      </c>
      <c r="E133" s="269" t="s">
        <v>460</v>
      </c>
      <c r="F133" s="260" t="s">
        <v>99</v>
      </c>
      <c r="G133" s="261">
        <v>27</v>
      </c>
      <c r="H133" s="8" t="s">
        <v>62</v>
      </c>
      <c r="I133" s="24" t="s">
        <v>464</v>
      </c>
      <c r="J133" s="162">
        <v>71431</v>
      </c>
      <c r="K133" s="148">
        <f>ROUND(IF(G133=36,J133*9%,0),0)</f>
        <v>0</v>
      </c>
      <c r="L133" s="40">
        <f>ROUND(IF(G133=36,J133*9%,0),0)</f>
        <v>0</v>
      </c>
      <c r="M133" s="40">
        <f>ROUND(IF(G133=36,J133*0%,J133*18%),0)</f>
        <v>12858</v>
      </c>
      <c r="N133" s="406">
        <f>J133+K133+L133+M133</f>
        <v>84289</v>
      </c>
      <c r="O133" s="21">
        <f>N133-Q133</f>
        <v>179.41999999999825</v>
      </c>
      <c r="P133" s="9">
        <f>O133/J133</f>
        <v>2.51179459898361E-3</v>
      </c>
      <c r="Q133" s="23">
        <f>84109.58</f>
        <v>84109.58</v>
      </c>
      <c r="R133" s="67">
        <v>45847</v>
      </c>
      <c r="S133" s="6" t="s">
        <v>74</v>
      </c>
      <c r="T133" s="10" t="s">
        <v>248</v>
      </c>
      <c r="U133" s="66">
        <f>N133-O133-Q133</f>
        <v>0</v>
      </c>
      <c r="V133" s="8"/>
      <c r="W133" s="7" t="str">
        <f>IF(U133=0,"No Due","Outstanding")</f>
        <v>No Due</v>
      </c>
      <c r="Z133" s="266">
        <v>55391</v>
      </c>
      <c r="AA133" s="41">
        <v>8794</v>
      </c>
      <c r="AB133" s="41">
        <v>571.28</v>
      </c>
      <c r="AC133" s="41">
        <v>725</v>
      </c>
      <c r="AD133" s="41">
        <v>0</v>
      </c>
      <c r="AE133" s="236">
        <f>SUM(Z133:AD133)</f>
        <v>65481.279999999999</v>
      </c>
      <c r="AF133" s="239">
        <f>J133-AE133</f>
        <v>5949.7200000000012</v>
      </c>
      <c r="AG133" s="237">
        <f>AF133</f>
        <v>5949.7200000000012</v>
      </c>
      <c r="AH133" s="237">
        <v>0</v>
      </c>
      <c r="AI133" s="237"/>
    </row>
    <row r="134" spans="1:35" ht="30" hidden="1" customHeight="1" x14ac:dyDescent="0.3">
      <c r="A134" s="3">
        <f>A133+1</f>
        <v>133</v>
      </c>
      <c r="B134" s="243" t="s">
        <v>444</v>
      </c>
      <c r="C134" s="46">
        <v>45845</v>
      </c>
      <c r="D134" s="146" t="s">
        <v>70</v>
      </c>
      <c r="E134" s="269" t="s">
        <v>461</v>
      </c>
      <c r="F134" s="260" t="s">
        <v>99</v>
      </c>
      <c r="G134" s="261">
        <v>27</v>
      </c>
      <c r="H134" s="8" t="s">
        <v>62</v>
      </c>
      <c r="I134" s="24" t="s">
        <v>465</v>
      </c>
      <c r="J134" s="162">
        <v>48520</v>
      </c>
      <c r="K134" s="148">
        <f>ROUND(IF(G134=36,J134*9%,0),0)</f>
        <v>0</v>
      </c>
      <c r="L134" s="40">
        <f>ROUND(IF(G134=36,J134*9%,0),0)</f>
        <v>0</v>
      </c>
      <c r="M134" s="40">
        <f>ROUND(IF(G134=36,J134*0%,J134*18%),0)</f>
        <v>8734</v>
      </c>
      <c r="N134" s="406">
        <f>J134+K134+L134+M134</f>
        <v>57254</v>
      </c>
      <c r="O134" s="21">
        <f>N134-Q134</f>
        <v>121.52999999999884</v>
      </c>
      <c r="P134" s="9">
        <f>O134/J134</f>
        <v>2.5047403132728531E-3</v>
      </c>
      <c r="Q134" s="23">
        <v>57132.47</v>
      </c>
      <c r="R134" s="67">
        <v>45847</v>
      </c>
      <c r="S134" s="6" t="s">
        <v>74</v>
      </c>
      <c r="T134" s="10" t="s">
        <v>248</v>
      </c>
      <c r="U134" s="66">
        <f>N134-O134-Q134</f>
        <v>0</v>
      </c>
      <c r="V134" s="8"/>
      <c r="W134" s="7" t="str">
        <f>IF(U134=0,"No Due","Outstanding")</f>
        <v>No Due</v>
      </c>
      <c r="Z134" s="266">
        <v>36655</v>
      </c>
      <c r="AA134" s="41">
        <v>5540</v>
      </c>
      <c r="AB134" s="41">
        <v>875.84000000000015</v>
      </c>
      <c r="AC134" s="41">
        <v>350</v>
      </c>
      <c r="AD134" s="41">
        <v>0</v>
      </c>
      <c r="AE134" s="236">
        <f>SUM(Z134:AD134)</f>
        <v>43420.84</v>
      </c>
      <c r="AF134" s="239">
        <f>J134-AE134</f>
        <v>5099.1600000000035</v>
      </c>
      <c r="AG134" s="237">
        <f>AF134</f>
        <v>5099.1600000000035</v>
      </c>
      <c r="AH134" s="237">
        <v>0</v>
      </c>
      <c r="AI134" s="237"/>
    </row>
    <row r="135" spans="1:35" ht="30" hidden="1" customHeight="1" x14ac:dyDescent="0.3">
      <c r="A135" s="3">
        <f>A134+1</f>
        <v>134</v>
      </c>
      <c r="B135" s="243" t="s">
        <v>444</v>
      </c>
      <c r="C135" s="46">
        <v>45843</v>
      </c>
      <c r="D135" s="75" t="s">
        <v>70</v>
      </c>
      <c r="E135" s="269" t="s">
        <v>466</v>
      </c>
      <c r="F135" s="260" t="s">
        <v>126</v>
      </c>
      <c r="G135" s="261">
        <v>24</v>
      </c>
      <c r="H135" s="8" t="s">
        <v>125</v>
      </c>
      <c r="I135" s="24" t="s">
        <v>467</v>
      </c>
      <c r="J135" s="45">
        <v>9084178.666666666</v>
      </c>
      <c r="K135" s="43">
        <f>ROUND(IF(G135=36,J135*9%,0),0)</f>
        <v>0</v>
      </c>
      <c r="L135" s="40">
        <f>ROUND(IF(G135=36,J135*9%,0),0)</f>
        <v>0</v>
      </c>
      <c r="M135" s="40">
        <f>ROUND(IF(G135=36,J135*0%,J135*18%),0)</f>
        <v>1635152</v>
      </c>
      <c r="N135" s="406">
        <f>J135+K135+L135+M135</f>
        <v>10719330.666666666</v>
      </c>
      <c r="O135" s="21">
        <f>N135-Q135</f>
        <v>22709.836666665971</v>
      </c>
      <c r="P135" s="9">
        <f>O135/J135</f>
        <v>2.4999328502858568E-3</v>
      </c>
      <c r="Q135" s="23">
        <f>10696620.83</f>
        <v>10696620.83</v>
      </c>
      <c r="R135" s="67">
        <v>45847</v>
      </c>
      <c r="S135" s="6" t="s">
        <v>74</v>
      </c>
      <c r="T135" s="10" t="s">
        <v>136</v>
      </c>
      <c r="U135" s="66">
        <f>N135-O135-Q135</f>
        <v>0</v>
      </c>
      <c r="V135" s="8"/>
      <c r="W135" s="7" t="str">
        <f>IF(U135=0,"No Due","Outstanding")</f>
        <v>No Due</v>
      </c>
      <c r="Z135" s="266">
        <v>7383811</v>
      </c>
      <c r="AA135" s="41">
        <v>1088768</v>
      </c>
      <c r="AB135" s="41">
        <v>0</v>
      </c>
      <c r="AC135" s="41">
        <v>54200</v>
      </c>
      <c r="AD135" s="41">
        <v>73499</v>
      </c>
      <c r="AE135" s="236">
        <f>SUM(Z135:AD135)</f>
        <v>8600278</v>
      </c>
      <c r="AF135" s="239">
        <f>J135-AE135</f>
        <v>483900.66666666605</v>
      </c>
      <c r="AG135" s="237">
        <f>AF135-200000</f>
        <v>283900.66666666605</v>
      </c>
      <c r="AH135" s="237">
        <v>200000</v>
      </c>
      <c r="AI135" s="237"/>
    </row>
    <row r="136" spans="1:35" ht="30" hidden="1" customHeight="1" x14ac:dyDescent="0.3">
      <c r="A136" s="3">
        <f>A135+1</f>
        <v>135</v>
      </c>
      <c r="B136" s="243" t="s">
        <v>444</v>
      </c>
      <c r="C136" s="46">
        <v>45845</v>
      </c>
      <c r="D136" s="75" t="s">
        <v>70</v>
      </c>
      <c r="E136" s="269" t="s">
        <v>470</v>
      </c>
      <c r="F136" s="260" t="s">
        <v>87</v>
      </c>
      <c r="G136" s="261">
        <v>24</v>
      </c>
      <c r="H136" s="8" t="s">
        <v>53</v>
      </c>
      <c r="I136" s="24" t="s">
        <v>474</v>
      </c>
      <c r="J136" s="45">
        <v>5623997</v>
      </c>
      <c r="K136" s="43">
        <f>ROUND(IF(G136=36,J136*9%,0),0)</f>
        <v>0</v>
      </c>
      <c r="L136" s="40">
        <f>ROUND(IF(G136=36,J136*9%,0),0)</f>
        <v>0</v>
      </c>
      <c r="M136" s="40">
        <f>ROUND(IF(G136=36,J136*0%,J136*18%),0)</f>
        <v>1012319</v>
      </c>
      <c r="N136" s="406">
        <f>J136+K136+L136+M136</f>
        <v>6636316</v>
      </c>
      <c r="O136" s="21">
        <f>J136*0.25%</f>
        <v>14059.9925</v>
      </c>
      <c r="P136" s="9">
        <f>O136/J136</f>
        <v>2.5000000000000001E-3</v>
      </c>
      <c r="Q136" s="23">
        <f>N136-(J136*0.25%)-M136+1012319</f>
        <v>6622256.0075000003</v>
      </c>
      <c r="R136" s="270" t="s">
        <v>535</v>
      </c>
      <c r="S136" s="268" t="s">
        <v>74</v>
      </c>
      <c r="T136" s="10" t="s">
        <v>80</v>
      </c>
      <c r="U136" s="66">
        <f>N136-O136-Q136</f>
        <v>0</v>
      </c>
      <c r="V136" s="8" t="s">
        <v>534</v>
      </c>
      <c r="W136" s="7" t="str">
        <f>IF(U136=0,"No Due","Outstanding")</f>
        <v>No Due</v>
      </c>
      <c r="Z136" s="266">
        <v>3738320</v>
      </c>
      <c r="AA136" s="41">
        <v>756277</v>
      </c>
      <c r="AB136" s="41">
        <v>0</v>
      </c>
      <c r="AC136" s="41">
        <v>0</v>
      </c>
      <c r="AD136" s="41">
        <v>0</v>
      </c>
      <c r="AE136" s="236">
        <f>SUM(Z136:AD136)</f>
        <v>4494597</v>
      </c>
      <c r="AF136" s="239">
        <f>J136-AE136</f>
        <v>1129400</v>
      </c>
      <c r="AG136" s="237">
        <f>AF136</f>
        <v>1129400</v>
      </c>
      <c r="AH136" s="237">
        <v>0</v>
      </c>
      <c r="AI136" s="237"/>
    </row>
    <row r="137" spans="1:35" ht="30" hidden="1" customHeight="1" x14ac:dyDescent="0.3">
      <c r="A137" s="3">
        <f>A136+1</f>
        <v>136</v>
      </c>
      <c r="B137" s="243" t="s">
        <v>444</v>
      </c>
      <c r="C137" s="46">
        <v>45845</v>
      </c>
      <c r="D137" s="75" t="s">
        <v>70</v>
      </c>
      <c r="E137" s="269" t="s">
        <v>471</v>
      </c>
      <c r="F137" s="260" t="s">
        <v>94</v>
      </c>
      <c r="G137" s="261">
        <v>24</v>
      </c>
      <c r="H137" s="8" t="s">
        <v>50</v>
      </c>
      <c r="I137" s="24" t="s">
        <v>475</v>
      </c>
      <c r="J137" s="45">
        <v>4411941</v>
      </c>
      <c r="K137" s="43">
        <f>ROUND(IF(G137=36,J137*9%,0),0)</f>
        <v>0</v>
      </c>
      <c r="L137" s="40">
        <f>ROUND(IF(G137=36,J137*9%,0),0)</f>
        <v>0</v>
      </c>
      <c r="M137" s="40">
        <f>ROUND(IF(G137=36,J137*0%,J137*18%),0)</f>
        <v>794149</v>
      </c>
      <c r="N137" s="406">
        <f>J137+K137+L137+M137</f>
        <v>5206090</v>
      </c>
      <c r="O137" s="21">
        <f>J137*0.25%</f>
        <v>11029.852500000001</v>
      </c>
      <c r="P137" s="9">
        <f>O137/J137</f>
        <v>2.5000000000000001E-3</v>
      </c>
      <c r="Q137" s="23">
        <f>4400910.88+794149</f>
        <v>5195059.88</v>
      </c>
      <c r="R137" s="273" t="s">
        <v>536</v>
      </c>
      <c r="S137" s="6" t="s">
        <v>74</v>
      </c>
      <c r="T137" s="10" t="s">
        <v>96</v>
      </c>
      <c r="U137" s="66">
        <f>N137-O137-Q137</f>
        <v>0.26750000007450581</v>
      </c>
      <c r="V137" s="8" t="s">
        <v>538</v>
      </c>
      <c r="W137" s="383" t="s">
        <v>811</v>
      </c>
      <c r="Z137" s="266">
        <v>2950703</v>
      </c>
      <c r="AA137" s="41">
        <v>572488</v>
      </c>
      <c r="AB137" s="41">
        <v>0</v>
      </c>
      <c r="AC137" s="41">
        <v>0</v>
      </c>
      <c r="AD137" s="41">
        <v>0</v>
      </c>
      <c r="AE137" s="236">
        <f>SUM(Z137:AD137)</f>
        <v>3523191</v>
      </c>
      <c r="AF137" s="239">
        <f>J137-AE137</f>
        <v>888750</v>
      </c>
      <c r="AG137" s="237">
        <f>AF137</f>
        <v>888750</v>
      </c>
      <c r="AH137" s="237">
        <v>0</v>
      </c>
      <c r="AI137" s="237"/>
    </row>
    <row r="138" spans="1:35" ht="30" hidden="1" customHeight="1" x14ac:dyDescent="0.3">
      <c r="A138" s="3">
        <f>A137+1</f>
        <v>137</v>
      </c>
      <c r="B138" s="243" t="s">
        <v>444</v>
      </c>
      <c r="C138" s="46">
        <v>45845</v>
      </c>
      <c r="D138" s="75" t="s">
        <v>70</v>
      </c>
      <c r="E138" s="276" t="s">
        <v>472</v>
      </c>
      <c r="F138" s="260" t="s">
        <v>105</v>
      </c>
      <c r="G138" s="261">
        <v>24</v>
      </c>
      <c r="H138" s="8" t="s">
        <v>60</v>
      </c>
      <c r="I138" s="24" t="s">
        <v>473</v>
      </c>
      <c r="J138" s="45">
        <v>1022994</v>
      </c>
      <c r="K138" s="43">
        <f>ROUND(IF(G138=36,J138*9%,0),0)</f>
        <v>0</v>
      </c>
      <c r="L138" s="40">
        <f>ROUND(IF(G138=36,J138*9%,0),0)</f>
        <v>0</v>
      </c>
      <c r="M138" s="40">
        <f>ROUND(IF(G138=36,J138*0%,J138*18%),0)</f>
        <v>184139</v>
      </c>
      <c r="N138" s="406">
        <f>J138+K138+L138+M138</f>
        <v>1207133</v>
      </c>
      <c r="O138" s="21">
        <f>J138*0.25%</f>
        <v>2557.4850000000001</v>
      </c>
      <c r="P138" s="9">
        <f>O138/J138</f>
        <v>2.5000000000000001E-3</v>
      </c>
      <c r="Q138" s="23">
        <f>1020437+184139</f>
        <v>1204576</v>
      </c>
      <c r="R138" s="275" t="s">
        <v>542</v>
      </c>
      <c r="S138" s="6" t="s">
        <v>74</v>
      </c>
      <c r="T138" s="10" t="s">
        <v>96</v>
      </c>
      <c r="U138" s="66">
        <f>N138-O138-Q138</f>
        <v>-0.48500000010244548</v>
      </c>
      <c r="V138" s="8" t="s">
        <v>541</v>
      </c>
      <c r="W138" s="383" t="s">
        <v>811</v>
      </c>
      <c r="Z138" s="266">
        <v>766952</v>
      </c>
      <c r="AA138" s="41">
        <v>115092</v>
      </c>
      <c r="AB138" s="41">
        <v>0</v>
      </c>
      <c r="AC138" s="41">
        <v>0</v>
      </c>
      <c r="AD138" s="41">
        <v>0</v>
      </c>
      <c r="AE138" s="236">
        <f>SUM(Z138:AD138)</f>
        <v>882044</v>
      </c>
      <c r="AF138" s="239">
        <f>J138-AE138</f>
        <v>140950</v>
      </c>
      <c r="AG138" s="237">
        <f>AF138</f>
        <v>140950</v>
      </c>
      <c r="AH138" s="237">
        <v>0</v>
      </c>
      <c r="AI138" s="237"/>
    </row>
    <row r="139" spans="1:35" ht="30" hidden="1" customHeight="1" x14ac:dyDescent="0.3">
      <c r="A139" s="3">
        <f>A138+1</f>
        <v>138</v>
      </c>
      <c r="B139" s="243" t="s">
        <v>444</v>
      </c>
      <c r="C139" s="46">
        <v>45849</v>
      </c>
      <c r="D139" s="46" t="s">
        <v>70</v>
      </c>
      <c r="E139" s="269" t="s">
        <v>477</v>
      </c>
      <c r="F139" s="260" t="s">
        <v>87</v>
      </c>
      <c r="G139" s="261">
        <v>24</v>
      </c>
      <c r="H139" s="8" t="s">
        <v>53</v>
      </c>
      <c r="I139" s="24" t="s">
        <v>479</v>
      </c>
      <c r="J139" s="45">
        <v>30000</v>
      </c>
      <c r="K139" s="43">
        <f>ROUND(IF(G139=36,J139*9%,0),0)</f>
        <v>0</v>
      </c>
      <c r="L139" s="40">
        <f>ROUND(IF(G139=36,J139*9%,0),0)</f>
        <v>0</v>
      </c>
      <c r="M139" s="40">
        <f>ROUND(IF(G139=36,J139*0%,J139*18%),0)</f>
        <v>5400</v>
      </c>
      <c r="N139" s="406">
        <f>J139+K139+L139+M139</f>
        <v>35400</v>
      </c>
      <c r="O139" s="233">
        <f>J139*0.25%</f>
        <v>75</v>
      </c>
      <c r="P139" s="234">
        <f>O139/J139</f>
        <v>2.5000000000000001E-3</v>
      </c>
      <c r="Q139" s="41">
        <f>29925+5400</f>
        <v>35325</v>
      </c>
      <c r="R139" s="288" t="s">
        <v>574</v>
      </c>
      <c r="S139" s="6" t="s">
        <v>74</v>
      </c>
      <c r="T139" s="10" t="s">
        <v>80</v>
      </c>
      <c r="U139" s="66">
        <f>N139-O139-Q139</f>
        <v>0</v>
      </c>
      <c r="V139" s="8" t="s">
        <v>578</v>
      </c>
      <c r="W139" s="7" t="str">
        <f>IF(U139=0,"No Due","Outstanding")</f>
        <v>No Due</v>
      </c>
      <c r="Z139" s="266">
        <v>30000</v>
      </c>
      <c r="AA139" s="41">
        <v>0</v>
      </c>
      <c r="AB139" s="41">
        <v>0</v>
      </c>
      <c r="AC139" s="41">
        <v>0</v>
      </c>
      <c r="AD139" s="41">
        <v>0</v>
      </c>
      <c r="AE139" s="236">
        <f>SUM(Z139:AD139)</f>
        <v>30000</v>
      </c>
      <c r="AF139" s="239">
        <f>J139-AE139</f>
        <v>0</v>
      </c>
      <c r="AG139" s="237">
        <f>AF139</f>
        <v>0</v>
      </c>
      <c r="AH139" s="237">
        <v>0</v>
      </c>
      <c r="AI139" s="237"/>
    </row>
    <row r="140" spans="1:35" ht="30" hidden="1" customHeight="1" x14ac:dyDescent="0.3">
      <c r="A140" s="3">
        <f>A139+1</f>
        <v>139</v>
      </c>
      <c r="B140" s="243" t="s">
        <v>444</v>
      </c>
      <c r="C140" s="46">
        <v>45849</v>
      </c>
      <c r="D140" s="46" t="s">
        <v>70</v>
      </c>
      <c r="E140" s="269" t="s">
        <v>478</v>
      </c>
      <c r="F140" s="260" t="s">
        <v>94</v>
      </c>
      <c r="G140" s="261">
        <v>24</v>
      </c>
      <c r="H140" s="8" t="s">
        <v>50</v>
      </c>
      <c r="I140" s="24" t="s">
        <v>480</v>
      </c>
      <c r="J140" s="45">
        <v>4375</v>
      </c>
      <c r="K140" s="43">
        <f>ROUND(IF(G140=36,J140*9%,0),0)</f>
        <v>0</v>
      </c>
      <c r="L140" s="40">
        <f>ROUND(IF(G140=36,J140*9%,0),0)</f>
        <v>0</v>
      </c>
      <c r="M140" s="40">
        <f>ROUND(IF(G140=36,J140*0%,J140*18%),0)</f>
        <v>788</v>
      </c>
      <c r="N140" s="406">
        <f>J140+K140+L140+M140</f>
        <v>5163</v>
      </c>
      <c r="O140" s="21">
        <f>J140*0.25%</f>
        <v>10.9375</v>
      </c>
      <c r="P140" s="9">
        <f>O140/J140</f>
        <v>2.5000000000000001E-3</v>
      </c>
      <c r="Q140" s="23">
        <f>4364+787.5</f>
        <v>5151.5</v>
      </c>
      <c r="R140" s="288" t="s">
        <v>574</v>
      </c>
      <c r="S140" s="6" t="s">
        <v>74</v>
      </c>
      <c r="T140" s="10" t="s">
        <v>96</v>
      </c>
      <c r="U140" s="66">
        <f>N140-O140-Q140</f>
        <v>0.5625</v>
      </c>
      <c r="V140" s="8" t="s">
        <v>575</v>
      </c>
      <c r="W140" s="383" t="s">
        <v>811</v>
      </c>
      <c r="Z140" s="266">
        <v>4375</v>
      </c>
      <c r="AA140" s="41">
        <v>0</v>
      </c>
      <c r="AB140" s="41">
        <v>0</v>
      </c>
      <c r="AC140" s="41">
        <v>0</v>
      </c>
      <c r="AD140" s="41">
        <v>0</v>
      </c>
      <c r="AE140" s="236">
        <f>SUM(Z140:AD140)</f>
        <v>4375</v>
      </c>
      <c r="AF140" s="239">
        <f>J140-AE140</f>
        <v>0</v>
      </c>
      <c r="AG140" s="237">
        <f>AF140</f>
        <v>0</v>
      </c>
      <c r="AH140" s="237">
        <v>0</v>
      </c>
      <c r="AI140" s="237"/>
    </row>
    <row r="141" spans="1:35" ht="30" hidden="1" customHeight="1" x14ac:dyDescent="0.3">
      <c r="A141" s="3">
        <f>A140+1</f>
        <v>140</v>
      </c>
      <c r="B141" s="243" t="s">
        <v>444</v>
      </c>
      <c r="C141" s="46">
        <v>45846</v>
      </c>
      <c r="D141" s="46" t="s">
        <v>33</v>
      </c>
      <c r="E141" s="278" t="s">
        <v>497</v>
      </c>
      <c r="F141" s="260" t="s">
        <v>34</v>
      </c>
      <c r="G141" s="261">
        <v>36</v>
      </c>
      <c r="H141" s="8" t="s">
        <v>55</v>
      </c>
      <c r="I141" s="24" t="s">
        <v>500</v>
      </c>
      <c r="J141" s="45">
        <f>(72050*29)+(53350*1)+(99751*6)</f>
        <v>2741306</v>
      </c>
      <c r="K141" s="43">
        <f>ROUND(IF(G141=36,J141*9%,0),0)</f>
        <v>246718</v>
      </c>
      <c r="L141" s="40">
        <f>ROUND(IF(G141=36,J141*9%,0),0)</f>
        <v>246718</v>
      </c>
      <c r="M141" s="40">
        <f>ROUND(IF(G141=36,J141*0%,J141*18%),0)</f>
        <v>0</v>
      </c>
      <c r="N141" s="406">
        <f>J141+K141+L141+M141</f>
        <v>3234742</v>
      </c>
      <c r="O141" s="21">
        <f>N141-Q141</f>
        <v>6853.2650000001304</v>
      </c>
      <c r="P141" s="9">
        <f>O141/J141</f>
        <v>2.5000000000000478E-3</v>
      </c>
      <c r="Q141" s="23">
        <f>N141-(J141*0.25%)</f>
        <v>3227888.7349999999</v>
      </c>
      <c r="R141" s="67">
        <v>45877</v>
      </c>
      <c r="S141" s="6" t="s">
        <v>74</v>
      </c>
      <c r="T141" s="10" t="s">
        <v>124</v>
      </c>
      <c r="U141" s="66">
        <f>N141-O141-Q141</f>
        <v>0</v>
      </c>
      <c r="V141" s="8"/>
      <c r="W141" s="7" t="str">
        <f>IF(U141=0,"No Due","Outstanding")</f>
        <v>No Due</v>
      </c>
      <c r="Z141" s="266">
        <v>1989448</v>
      </c>
      <c r="AA141" s="41">
        <v>135000</v>
      </c>
      <c r="AB141" s="41">
        <v>0</v>
      </c>
      <c r="AC141" s="41">
        <v>7200</v>
      </c>
      <c r="AD141" s="41">
        <v>0</v>
      </c>
      <c r="AE141" s="236">
        <f>SUM(Z141:AD141)</f>
        <v>2131648</v>
      </c>
      <c r="AF141" s="239">
        <f>J141-AE141</f>
        <v>609658</v>
      </c>
      <c r="AG141" s="237">
        <f>AF141</f>
        <v>609658</v>
      </c>
      <c r="AH141" s="237">
        <v>0</v>
      </c>
      <c r="AI141" s="237"/>
    </row>
    <row r="142" spans="1:35" ht="30" hidden="1" customHeight="1" x14ac:dyDescent="0.3">
      <c r="A142" s="3">
        <f>A141+1</f>
        <v>141</v>
      </c>
      <c r="B142" s="243" t="s">
        <v>444</v>
      </c>
      <c r="C142" s="46">
        <v>45846</v>
      </c>
      <c r="D142" s="46" t="s">
        <v>33</v>
      </c>
      <c r="E142" s="278" t="s">
        <v>498</v>
      </c>
      <c r="F142" s="260" t="s">
        <v>34</v>
      </c>
      <c r="G142" s="261">
        <v>36</v>
      </c>
      <c r="H142" s="8" t="s">
        <v>55</v>
      </c>
      <c r="I142" s="24" t="s">
        <v>501</v>
      </c>
      <c r="J142" s="45">
        <v>21433</v>
      </c>
      <c r="K142" s="43">
        <f>ROUND(IF(G142=36,J142*9%,0),0)</f>
        <v>1929</v>
      </c>
      <c r="L142" s="40">
        <f>ROUND(IF(G142=36,J142*9%,0),0)</f>
        <v>1929</v>
      </c>
      <c r="M142" s="40">
        <f>ROUND(IF(G142=36,J142*0%,J142*18%),0)</f>
        <v>0</v>
      </c>
      <c r="N142" s="406">
        <f>J142+K142+L142+M142</f>
        <v>25291</v>
      </c>
      <c r="O142" s="21">
        <f>N142-Q142</f>
        <v>53.582500000000437</v>
      </c>
      <c r="P142" s="9">
        <f>O142/J142</f>
        <v>2.5000000000000204E-3</v>
      </c>
      <c r="Q142" s="23">
        <f>N142-(J142*0.25%)</f>
        <v>25237.4175</v>
      </c>
      <c r="R142" s="67">
        <v>45877</v>
      </c>
      <c r="S142" s="6" t="s">
        <v>74</v>
      </c>
      <c r="T142" s="10" t="s">
        <v>124</v>
      </c>
      <c r="U142" s="66">
        <f>N142-O142-Q142</f>
        <v>0</v>
      </c>
      <c r="V142" s="8"/>
      <c r="W142" s="7" t="str">
        <f>IF(U142=0,"No Due","Outstanding")</f>
        <v>No Due</v>
      </c>
      <c r="Z142" s="266">
        <v>0</v>
      </c>
      <c r="AA142" s="41">
        <v>0</v>
      </c>
      <c r="AB142" s="41">
        <v>0</v>
      </c>
      <c r="AC142" s="41">
        <v>0</v>
      </c>
      <c r="AD142" s="41">
        <v>0</v>
      </c>
      <c r="AE142" s="236">
        <f>SUM(Z142:AD142)</f>
        <v>0</v>
      </c>
      <c r="AF142" s="239">
        <f>J142-AE142</f>
        <v>21433</v>
      </c>
      <c r="AG142" s="237">
        <f>AF142</f>
        <v>21433</v>
      </c>
      <c r="AH142" s="237">
        <v>0</v>
      </c>
      <c r="AI142" s="237"/>
    </row>
    <row r="143" spans="1:35" ht="30" hidden="1" customHeight="1" x14ac:dyDescent="0.3">
      <c r="A143" s="3">
        <f>A142+1</f>
        <v>142</v>
      </c>
      <c r="B143" s="243" t="s">
        <v>444</v>
      </c>
      <c r="C143" s="46">
        <v>45846</v>
      </c>
      <c r="D143" s="60" t="s">
        <v>33</v>
      </c>
      <c r="E143" s="376" t="s">
        <v>499</v>
      </c>
      <c r="F143" s="260" t="s">
        <v>37</v>
      </c>
      <c r="G143" s="261">
        <v>36</v>
      </c>
      <c r="H143" s="8" t="s">
        <v>38</v>
      </c>
      <c r="I143" s="24" t="s">
        <v>502</v>
      </c>
      <c r="J143" s="45">
        <f>((109000*1)+133333+(158333*4))</f>
        <v>875665</v>
      </c>
      <c r="K143" s="43">
        <f>ROUND(IF(G143=36,J143*9%,0),0)</f>
        <v>78810</v>
      </c>
      <c r="L143" s="40">
        <f>ROUND(IF(G143=36,J143*9%,0),0)</f>
        <v>78810</v>
      </c>
      <c r="M143" s="40">
        <f>ROUND(IF(G143=36,J143*0%,J143*18%),0)</f>
        <v>0</v>
      </c>
      <c r="N143" s="406">
        <f>J143+K143+L143+M143</f>
        <v>1033285</v>
      </c>
      <c r="O143" s="21">
        <f>N143-Q143</f>
        <v>87567</v>
      </c>
      <c r="P143" s="9">
        <f>O143/J143</f>
        <v>0.10000057099461553</v>
      </c>
      <c r="Q143" s="23">
        <v>945718</v>
      </c>
      <c r="R143" s="67">
        <v>46015</v>
      </c>
      <c r="S143" s="6" t="s">
        <v>74</v>
      </c>
      <c r="T143" s="10" t="s">
        <v>124</v>
      </c>
      <c r="U143" s="66">
        <f>N143-O143-Q143</f>
        <v>0</v>
      </c>
      <c r="V143" s="8"/>
      <c r="W143" s="7" t="str">
        <f>IF(U143=0,"No Due","Outstanding")</f>
        <v>No Due</v>
      </c>
      <c r="Z143" s="266">
        <v>724287</v>
      </c>
      <c r="AA143" s="41">
        <v>22500</v>
      </c>
      <c r="AB143" s="41">
        <v>0</v>
      </c>
      <c r="AC143" s="41">
        <v>1200</v>
      </c>
      <c r="AD143" s="41">
        <v>0</v>
      </c>
      <c r="AE143" s="236">
        <f>SUM(Z143:AD143)</f>
        <v>747987</v>
      </c>
      <c r="AF143" s="239">
        <f>J143-AE143</f>
        <v>127678</v>
      </c>
      <c r="AG143" s="237">
        <f>AF143</f>
        <v>127678</v>
      </c>
      <c r="AH143" s="237">
        <v>0</v>
      </c>
      <c r="AI143" s="237"/>
    </row>
    <row r="144" spans="1:35" ht="30" hidden="1" customHeight="1" x14ac:dyDescent="0.3">
      <c r="A144" s="3">
        <f>A143+1</f>
        <v>143</v>
      </c>
      <c r="B144" s="243" t="s">
        <v>444</v>
      </c>
      <c r="C144" s="46">
        <v>45847</v>
      </c>
      <c r="D144" s="167" t="s">
        <v>70</v>
      </c>
      <c r="E144" s="269" t="s">
        <v>503</v>
      </c>
      <c r="F144" s="260" t="s">
        <v>138</v>
      </c>
      <c r="G144" s="261">
        <v>36</v>
      </c>
      <c r="H144" s="8" t="s">
        <v>49</v>
      </c>
      <c r="I144" s="24" t="s">
        <v>508</v>
      </c>
      <c r="J144" s="45">
        <v>21792326</v>
      </c>
      <c r="K144" s="169">
        <f>ROUND(IF(G144=36,J144*9%,0),0)</f>
        <v>1961309</v>
      </c>
      <c r="L144" s="40">
        <f>ROUND(IF(G144=36,J144*9%,0),0)</f>
        <v>1961309</v>
      </c>
      <c r="M144" s="40">
        <f>ROUND(IF(G144=36,J144*0%,J144*18%),0)</f>
        <v>0</v>
      </c>
      <c r="N144" s="407">
        <f>J144+K144+L144+M144</f>
        <v>25714944</v>
      </c>
      <c r="O144" s="21">
        <f>N144-Q144</f>
        <v>54480.320000000298</v>
      </c>
      <c r="P144" s="9">
        <f>O144/J144</f>
        <v>2.4999772855821036E-3</v>
      </c>
      <c r="Q144" s="23">
        <f>25660463.68</f>
        <v>25660463.68</v>
      </c>
      <c r="R144" s="67">
        <v>45868</v>
      </c>
      <c r="S144" s="6" t="s">
        <v>74</v>
      </c>
      <c r="T144" s="10" t="s">
        <v>96</v>
      </c>
      <c r="U144" s="66">
        <f>N144-O144-Q144</f>
        <v>0</v>
      </c>
      <c r="V144" s="8"/>
      <c r="W144" s="7" t="str">
        <f>IF(U144=0,"No Due","Outstanding")</f>
        <v>No Due</v>
      </c>
      <c r="Z144" s="266">
        <v>19695581</v>
      </c>
      <c r="AA144" s="41">
        <v>1735738</v>
      </c>
      <c r="AB144" s="41">
        <v>5407</v>
      </c>
      <c r="AC144" s="41">
        <v>91950</v>
      </c>
      <c r="AD144" s="41">
        <v>3500</v>
      </c>
      <c r="AE144" s="236">
        <f>SUM(Z144:AD144)</f>
        <v>21532176</v>
      </c>
      <c r="AF144" s="239">
        <f>J144-AE144</f>
        <v>260150</v>
      </c>
      <c r="AG144" s="237">
        <f>AF144</f>
        <v>260150</v>
      </c>
      <c r="AH144" s="237">
        <v>0</v>
      </c>
      <c r="AI144" s="237"/>
    </row>
    <row r="145" spans="1:35" ht="30" hidden="1" customHeight="1" x14ac:dyDescent="0.3">
      <c r="A145" s="3">
        <f>A144+1</f>
        <v>144</v>
      </c>
      <c r="B145" s="243" t="s">
        <v>444</v>
      </c>
      <c r="C145" s="46">
        <v>45847</v>
      </c>
      <c r="D145" s="167" t="s">
        <v>70</v>
      </c>
      <c r="E145" s="269" t="s">
        <v>504</v>
      </c>
      <c r="F145" s="260" t="s">
        <v>158</v>
      </c>
      <c r="G145" s="261">
        <v>21</v>
      </c>
      <c r="H145" s="8" t="s">
        <v>56</v>
      </c>
      <c r="I145" s="24" t="s">
        <v>507</v>
      </c>
      <c r="J145" s="45">
        <v>36781</v>
      </c>
      <c r="K145" s="169">
        <f>ROUND(IF(G145=36,J145*9%,0),0)</f>
        <v>0</v>
      </c>
      <c r="L145" s="40">
        <f>ROUND(IF(G145=36,J145*9%,0),0)</f>
        <v>0</v>
      </c>
      <c r="M145" s="40">
        <f>ROUND(IF(G145=36,J145*0%,J145*18%),0)</f>
        <v>6621</v>
      </c>
      <c r="N145" s="407">
        <f>J145+K145+L145+M145</f>
        <v>43402</v>
      </c>
      <c r="O145" s="21">
        <f>J145*0.25%</f>
        <v>91.952500000000001</v>
      </c>
      <c r="P145" s="9">
        <f>O145/J145</f>
        <v>2.5000000000000001E-3</v>
      </c>
      <c r="Q145" s="23">
        <f>23088.54+20221.04</f>
        <v>43309.58</v>
      </c>
      <c r="R145" s="293" t="s">
        <v>585</v>
      </c>
      <c r="S145" s="6" t="s">
        <v>74</v>
      </c>
      <c r="T145" s="10" t="s">
        <v>96</v>
      </c>
      <c r="U145" s="66">
        <f>N145-O145-Q145</f>
        <v>0.46749999999883585</v>
      </c>
      <c r="V145" s="8" t="s">
        <v>586</v>
      </c>
      <c r="W145" s="383" t="s">
        <v>811</v>
      </c>
      <c r="Z145" s="266">
        <v>32281</v>
      </c>
      <c r="AA145" s="41">
        <v>3750</v>
      </c>
      <c r="AB145" s="41">
        <v>0</v>
      </c>
      <c r="AC145" s="41">
        <v>200</v>
      </c>
      <c r="AD145" s="41">
        <v>0</v>
      </c>
      <c r="AE145" s="236">
        <f>SUM(Z145:AD145)</f>
        <v>36231</v>
      </c>
      <c r="AF145" s="239">
        <f>J145-AE145</f>
        <v>550</v>
      </c>
      <c r="AG145" s="237">
        <f>AF145</f>
        <v>550</v>
      </c>
      <c r="AH145" s="237">
        <v>0</v>
      </c>
      <c r="AI145" s="237"/>
    </row>
    <row r="146" spans="1:35" ht="30" hidden="1" customHeight="1" x14ac:dyDescent="0.3">
      <c r="A146" s="3">
        <f>A145+1</f>
        <v>145</v>
      </c>
      <c r="B146" s="243" t="s">
        <v>444</v>
      </c>
      <c r="C146" s="46">
        <v>45847</v>
      </c>
      <c r="D146" s="167" t="s">
        <v>70</v>
      </c>
      <c r="E146" s="269" t="s">
        <v>505</v>
      </c>
      <c r="F146" s="260" t="s">
        <v>138</v>
      </c>
      <c r="G146" s="261">
        <v>36</v>
      </c>
      <c r="H146" s="8" t="s">
        <v>49</v>
      </c>
      <c r="I146" s="24" t="s">
        <v>506</v>
      </c>
      <c r="J146" s="45">
        <v>2007207</v>
      </c>
      <c r="K146" s="169">
        <f>ROUND(IF(G146=36,J146*9%,0),0)</f>
        <v>180649</v>
      </c>
      <c r="L146" s="40">
        <f>ROUND(IF(G146=36,J146*9%,0),0)</f>
        <v>180649</v>
      </c>
      <c r="M146" s="40">
        <f>ROUND(IF(G146=36,J146*0%,J146*18%),0)</f>
        <v>0</v>
      </c>
      <c r="N146" s="407">
        <f>J146+K146+L146+M146</f>
        <v>2368505</v>
      </c>
      <c r="O146" s="21">
        <f>N146-Q146</f>
        <v>5018.7400000002235</v>
      </c>
      <c r="P146" s="9">
        <f>O146/J146</f>
        <v>2.5003599529098012E-3</v>
      </c>
      <c r="Q146" s="23">
        <f>2363486.26</f>
        <v>2363486.2599999998</v>
      </c>
      <c r="R146" s="67">
        <v>45868</v>
      </c>
      <c r="S146" s="6" t="s">
        <v>74</v>
      </c>
      <c r="T146" s="10" t="s">
        <v>96</v>
      </c>
      <c r="U146" s="66">
        <f>N146-O146-Q146</f>
        <v>0</v>
      </c>
      <c r="V146" s="8"/>
      <c r="W146" s="7" t="str">
        <f>IF(U146=0,"No Due","Outstanding")</f>
        <v>No Due</v>
      </c>
      <c r="Z146" s="266">
        <v>1991807</v>
      </c>
      <c r="AA146" s="41">
        <v>0</v>
      </c>
      <c r="AB146" s="41">
        <v>0</v>
      </c>
      <c r="AC146" s="41">
        <v>0</v>
      </c>
      <c r="AD146" s="41">
        <v>0</v>
      </c>
      <c r="AE146" s="236">
        <f>SUM(Z146:AD146)</f>
        <v>1991807</v>
      </c>
      <c r="AF146" s="239">
        <f>J146-AE146</f>
        <v>15400</v>
      </c>
      <c r="AG146" s="237">
        <f>AF146</f>
        <v>15400</v>
      </c>
      <c r="AH146" s="237">
        <v>0</v>
      </c>
      <c r="AI146" s="237"/>
    </row>
    <row r="147" spans="1:35" ht="30" hidden="1" customHeight="1" x14ac:dyDescent="0.3">
      <c r="A147" s="3">
        <f>A146+1</f>
        <v>146</v>
      </c>
      <c r="B147" s="243" t="s">
        <v>444</v>
      </c>
      <c r="C147" s="46">
        <v>45848</v>
      </c>
      <c r="D147" s="167" t="s">
        <v>70</v>
      </c>
      <c r="E147" s="274" t="s">
        <v>509</v>
      </c>
      <c r="F147" s="260" t="s">
        <v>87</v>
      </c>
      <c r="G147" s="261">
        <v>24</v>
      </c>
      <c r="H147" s="8" t="s">
        <v>53</v>
      </c>
      <c r="I147" s="24" t="s">
        <v>510</v>
      </c>
      <c r="J147" s="45">
        <v>42760</v>
      </c>
      <c r="K147" s="169">
        <f>ROUND(IF(G147=36,J147*9%,0),0)</f>
        <v>0</v>
      </c>
      <c r="L147" s="40">
        <f>ROUND(IF(G147=36,J147*9%,0),0)</f>
        <v>0</v>
      </c>
      <c r="M147" s="40">
        <f>ROUND(IF(G147=36,J147*0%,J147*18%),0)</f>
        <v>7697</v>
      </c>
      <c r="N147" s="406">
        <f>J147+K147+L147+M147</f>
        <v>50457</v>
      </c>
      <c r="O147" s="233">
        <f>J147*0.25%</f>
        <v>106.9</v>
      </c>
      <c r="P147" s="234">
        <f>O147/J147</f>
        <v>2.5000000000000001E-3</v>
      </c>
      <c r="Q147" s="41">
        <f>N147-O147</f>
        <v>50350.1</v>
      </c>
      <c r="R147" s="67">
        <v>45859</v>
      </c>
      <c r="S147" s="271" t="s">
        <v>74</v>
      </c>
      <c r="T147" s="10" t="s">
        <v>80</v>
      </c>
      <c r="U147" s="66">
        <f>N147-O147-Q147</f>
        <v>0</v>
      </c>
      <c r="V147" s="8"/>
      <c r="W147" s="7" t="str">
        <f>IF(U147=0,"No Due","Outstanding")</f>
        <v>No Due</v>
      </c>
      <c r="Z147" s="266">
        <v>30622</v>
      </c>
      <c r="AA147" s="41">
        <v>6188</v>
      </c>
      <c r="AB147" s="41">
        <v>0</v>
      </c>
      <c r="AC147" s="41">
        <v>0</v>
      </c>
      <c r="AD147" s="41">
        <v>0</v>
      </c>
      <c r="AE147" s="236">
        <f>SUM(Z147:AD147)</f>
        <v>36810</v>
      </c>
      <c r="AF147" s="239">
        <f>J147-AE147</f>
        <v>5950</v>
      </c>
      <c r="AG147" s="237">
        <f>AF147</f>
        <v>5950</v>
      </c>
      <c r="AH147" s="237">
        <v>0</v>
      </c>
      <c r="AI147" s="237"/>
    </row>
    <row r="148" spans="1:35" ht="30" hidden="1" customHeight="1" x14ac:dyDescent="0.3">
      <c r="A148" s="3">
        <f>A147+1</f>
        <v>147</v>
      </c>
      <c r="B148" s="243" t="s">
        <v>444</v>
      </c>
      <c r="C148" s="46">
        <v>45849</v>
      </c>
      <c r="D148" s="167" t="s">
        <v>70</v>
      </c>
      <c r="E148" s="272" t="s">
        <v>511</v>
      </c>
      <c r="F148" s="260" t="s">
        <v>87</v>
      </c>
      <c r="G148" s="261">
        <v>24</v>
      </c>
      <c r="H148" s="8" t="s">
        <v>53</v>
      </c>
      <c r="I148" s="24" t="s">
        <v>513</v>
      </c>
      <c r="J148" s="45">
        <v>249580</v>
      </c>
      <c r="K148" s="169">
        <f>ROUND(IF(G148=36,J148*9%,0),0)</f>
        <v>0</v>
      </c>
      <c r="L148" s="40">
        <f>ROUND(IF(G148=36,J148*9%,0),0)</f>
        <v>0</v>
      </c>
      <c r="M148" s="40">
        <f>ROUND(IF(G148=36,J148*0%,J148*18%),0)</f>
        <v>44924</v>
      </c>
      <c r="N148" s="406">
        <f>J148+K148+L148+M148</f>
        <v>294504</v>
      </c>
      <c r="O148" s="233">
        <f>J148*0.25%</f>
        <v>623.95000000000005</v>
      </c>
      <c r="P148" s="234">
        <f>O148/J148</f>
        <v>2.5000000000000001E-3</v>
      </c>
      <c r="Q148" s="41">
        <f>N148-O148-M148+44924</f>
        <v>293880.05</v>
      </c>
      <c r="R148" s="288" t="s">
        <v>580</v>
      </c>
      <c r="S148" s="271" t="s">
        <v>74</v>
      </c>
      <c r="T148" s="10" t="s">
        <v>80</v>
      </c>
      <c r="U148" s="66">
        <f>N148-O148-Q148</f>
        <v>0</v>
      </c>
      <c r="V148" s="8" t="s">
        <v>579</v>
      </c>
      <c r="W148" s="7" t="str">
        <f>IF(U148=0,"No Due","Outstanding")</f>
        <v>No Due</v>
      </c>
      <c r="Z148" s="266">
        <v>184924</v>
      </c>
      <c r="AA148" s="41">
        <v>32806</v>
      </c>
      <c r="AB148" s="41">
        <v>0</v>
      </c>
      <c r="AC148" s="41">
        <v>0</v>
      </c>
      <c r="AD148" s="41">
        <v>0</v>
      </c>
      <c r="AE148" s="236">
        <f>SUM(Z148:AD148)</f>
        <v>217730</v>
      </c>
      <c r="AF148" s="239">
        <f>J148-AE148</f>
        <v>31850</v>
      </c>
      <c r="AG148" s="237">
        <f>AF148</f>
        <v>31850</v>
      </c>
      <c r="AH148" s="237">
        <v>0</v>
      </c>
      <c r="AI148" s="237"/>
    </row>
    <row r="149" spans="1:35" ht="30" hidden="1" customHeight="1" x14ac:dyDescent="0.3">
      <c r="A149" s="3">
        <f>A148+1</f>
        <v>148</v>
      </c>
      <c r="B149" s="243" t="s">
        <v>444</v>
      </c>
      <c r="C149" s="46">
        <v>45849</v>
      </c>
      <c r="D149" s="167" t="s">
        <v>70</v>
      </c>
      <c r="E149" s="269" t="s">
        <v>512</v>
      </c>
      <c r="F149" s="260" t="s">
        <v>94</v>
      </c>
      <c r="G149" s="261">
        <v>24</v>
      </c>
      <c r="H149" s="8" t="s">
        <v>50</v>
      </c>
      <c r="I149" s="24" t="s">
        <v>514</v>
      </c>
      <c r="J149" s="45">
        <v>162945</v>
      </c>
      <c r="K149" s="169">
        <f>ROUND(IF(G149=36,J149*9%,0),0)</f>
        <v>0</v>
      </c>
      <c r="L149" s="40">
        <f>ROUND(IF(G149=36,J149*9%,0),0)</f>
        <v>0</v>
      </c>
      <c r="M149" s="40">
        <f>ROUND(IF(G149=36,J149*0%,J149*18%),0)</f>
        <v>29330</v>
      </c>
      <c r="N149" s="406">
        <f>J149+K149+L149+M149</f>
        <v>192275</v>
      </c>
      <c r="O149" s="21">
        <f>J149*0.25%</f>
        <v>407.36250000000001</v>
      </c>
      <c r="P149" s="9">
        <f>O149/J149</f>
        <v>2.5000000000000001E-3</v>
      </c>
      <c r="Q149" s="23">
        <f>29330+162537.83</f>
        <v>191867.83</v>
      </c>
      <c r="R149" s="67">
        <v>45860</v>
      </c>
      <c r="S149" s="6" t="s">
        <v>74</v>
      </c>
      <c r="T149" s="10" t="s">
        <v>96</v>
      </c>
      <c r="U149" s="66">
        <f>N149-O149-Q149</f>
        <v>-0.19249999997555278</v>
      </c>
      <c r="V149" s="8"/>
      <c r="W149" s="383" t="s">
        <v>811</v>
      </c>
      <c r="Z149" s="266">
        <v>120199</v>
      </c>
      <c r="AA149" s="41">
        <v>21496</v>
      </c>
      <c r="AB149" s="41">
        <v>0</v>
      </c>
      <c r="AC149" s="41">
        <v>0</v>
      </c>
      <c r="AD149" s="41">
        <v>0</v>
      </c>
      <c r="AE149" s="236">
        <f>SUM(Z149:AD149)</f>
        <v>141695</v>
      </c>
      <c r="AF149" s="239">
        <f>J149-AE149</f>
        <v>21250</v>
      </c>
      <c r="AG149" s="237">
        <f>AF149</f>
        <v>21250</v>
      </c>
      <c r="AH149" s="237">
        <v>0</v>
      </c>
      <c r="AI149" s="237"/>
    </row>
    <row r="150" spans="1:35" ht="30" hidden="1" customHeight="1" x14ac:dyDescent="0.3">
      <c r="A150" s="3">
        <f>A149+1</f>
        <v>149</v>
      </c>
      <c r="B150" s="243" t="s">
        <v>444</v>
      </c>
      <c r="C150" s="46">
        <v>45849</v>
      </c>
      <c r="D150" s="146" t="s">
        <v>70</v>
      </c>
      <c r="E150" s="269" t="s">
        <v>515</v>
      </c>
      <c r="F150" s="260" t="s">
        <v>72</v>
      </c>
      <c r="G150" s="261">
        <v>24</v>
      </c>
      <c r="H150" s="8" t="s">
        <v>61</v>
      </c>
      <c r="I150" s="24" t="s">
        <v>516</v>
      </c>
      <c r="J150" s="45">
        <v>65179</v>
      </c>
      <c r="K150" s="148">
        <f>ROUND(IF(G150=36,J150*9%,0),0)</f>
        <v>0</v>
      </c>
      <c r="L150" s="40">
        <f>ROUND(IF(G150=36,J150*9%,0),0)</f>
        <v>0</v>
      </c>
      <c r="M150" s="40">
        <f>ROUND(IF(G150=36,J150*0%,J150*18%),0)</f>
        <v>11732</v>
      </c>
      <c r="N150" s="406">
        <f>J150+K150+L150+M150</f>
        <v>76911</v>
      </c>
      <c r="O150" s="21">
        <f>N150-Q150</f>
        <v>1304</v>
      </c>
      <c r="P150" s="9">
        <f>O150/J150</f>
        <v>2.000644379324629E-2</v>
      </c>
      <c r="Q150" s="23">
        <v>75607</v>
      </c>
      <c r="R150" s="67">
        <v>45859</v>
      </c>
      <c r="S150" s="6" t="s">
        <v>74</v>
      </c>
      <c r="T150" s="10" t="s">
        <v>75</v>
      </c>
      <c r="U150" s="66">
        <f>N150-O150-Q150</f>
        <v>0</v>
      </c>
      <c r="V150" s="8"/>
      <c r="W150" s="7" t="str">
        <f>IF(U150=0,"No Due","Outstanding")</f>
        <v>No Due</v>
      </c>
      <c r="Z150" s="266">
        <v>49867</v>
      </c>
      <c r="AA150" s="41">
        <v>10012</v>
      </c>
      <c r="AB150" s="41">
        <v>0</v>
      </c>
      <c r="AC150" s="41">
        <v>200</v>
      </c>
      <c r="AD150" s="41">
        <v>0</v>
      </c>
      <c r="AE150" s="236">
        <f>SUM(Z150:AD150)</f>
        <v>60079</v>
      </c>
      <c r="AF150" s="239">
        <f>J150-AE150</f>
        <v>5100</v>
      </c>
      <c r="AG150" s="237">
        <f>AF150</f>
        <v>5100</v>
      </c>
      <c r="AH150" s="237">
        <v>0</v>
      </c>
      <c r="AI150" s="237"/>
    </row>
    <row r="151" spans="1:35" ht="30" hidden="1" customHeight="1" x14ac:dyDescent="0.3">
      <c r="A151" s="3">
        <f>A150+1</f>
        <v>150</v>
      </c>
      <c r="B151" s="243" t="s">
        <v>444</v>
      </c>
      <c r="C151" s="46">
        <v>45857</v>
      </c>
      <c r="D151" s="130" t="s">
        <v>129</v>
      </c>
      <c r="E151" s="269" t="s">
        <v>527</v>
      </c>
      <c r="F151" s="130" t="s">
        <v>146</v>
      </c>
      <c r="G151" s="131">
        <v>36</v>
      </c>
      <c r="H151" s="8" t="s">
        <v>52</v>
      </c>
      <c r="I151" s="24" t="s">
        <v>529</v>
      </c>
      <c r="J151" s="45">
        <f>89*200</f>
        <v>17800</v>
      </c>
      <c r="K151" s="132">
        <f>ROUND(IF(G151=36,J151*9%,0),0)</f>
        <v>1602</v>
      </c>
      <c r="L151" s="40">
        <f>ROUND(IF(G151=36,J151*9%,0),0)</f>
        <v>1602</v>
      </c>
      <c r="M151" s="40">
        <f>ROUND(IF(G151=36,J151*0%,J151*18%),0)</f>
        <v>0</v>
      </c>
      <c r="N151" s="406">
        <f>J151+K151+L151+M151</f>
        <v>21004</v>
      </c>
      <c r="O151" s="21">
        <f>N151-Q151</f>
        <v>1780</v>
      </c>
      <c r="P151" s="9">
        <f>O151/J151</f>
        <v>0.1</v>
      </c>
      <c r="Q151" s="23">
        <v>19224</v>
      </c>
      <c r="R151" s="67">
        <v>45885</v>
      </c>
      <c r="S151" s="6" t="s">
        <v>74</v>
      </c>
      <c r="T151" s="10" t="s">
        <v>147</v>
      </c>
      <c r="U151" s="66">
        <f>N151-O151-Q151</f>
        <v>0</v>
      </c>
      <c r="V151" s="8"/>
      <c r="W151" s="7" t="str">
        <f>IF(U151=0,"No Due","Outstanding")</f>
        <v>No Due</v>
      </c>
      <c r="Z151" s="266">
        <v>0</v>
      </c>
      <c r="AA151" s="41">
        <v>0</v>
      </c>
      <c r="AB151" s="41">
        <v>0</v>
      </c>
      <c r="AC151" s="41">
        <v>0</v>
      </c>
      <c r="AD151" s="41">
        <v>0</v>
      </c>
      <c r="AE151" s="236">
        <f>SUM(Z151:AD151)</f>
        <v>0</v>
      </c>
      <c r="AF151" s="239">
        <f>J151-AE151</f>
        <v>17800</v>
      </c>
      <c r="AG151" s="237">
        <f>AF151</f>
        <v>17800</v>
      </c>
      <c r="AH151" s="237">
        <v>0</v>
      </c>
      <c r="AI151" s="237"/>
    </row>
    <row r="152" spans="1:35" ht="30" hidden="1" customHeight="1" x14ac:dyDescent="0.3">
      <c r="A152" s="3">
        <f>A151+1</f>
        <v>151</v>
      </c>
      <c r="B152" s="243" t="s">
        <v>444</v>
      </c>
      <c r="C152" s="46">
        <v>45857</v>
      </c>
      <c r="D152" s="130" t="s">
        <v>129</v>
      </c>
      <c r="E152" s="269" t="s">
        <v>528</v>
      </c>
      <c r="F152" s="130" t="s">
        <v>131</v>
      </c>
      <c r="G152" s="131">
        <v>36</v>
      </c>
      <c r="H152" s="8" t="s">
        <v>51</v>
      </c>
      <c r="I152" s="24" t="s">
        <v>529</v>
      </c>
      <c r="J152" s="45">
        <f>4*200</f>
        <v>800</v>
      </c>
      <c r="K152" s="132">
        <f>ROUND(IF(G152=36,J152*9%,0),0)</f>
        <v>72</v>
      </c>
      <c r="L152" s="40">
        <f>ROUND(IF(G152=36,J152*9%,0),0)</f>
        <v>72</v>
      </c>
      <c r="M152" s="40">
        <f>ROUND(IF(G152=36,J152*0%,J152*18%),0)</f>
        <v>0</v>
      </c>
      <c r="N152" s="406">
        <f>J152+K152+L152+M152</f>
        <v>944</v>
      </c>
      <c r="O152" s="21">
        <f>N152-Q152</f>
        <v>80</v>
      </c>
      <c r="P152" s="9">
        <f>O152/J152</f>
        <v>0.1</v>
      </c>
      <c r="Q152" s="23">
        <v>864</v>
      </c>
      <c r="R152" s="67">
        <v>45885</v>
      </c>
      <c r="S152" s="6" t="s">
        <v>74</v>
      </c>
      <c r="T152" s="10" t="s">
        <v>147</v>
      </c>
      <c r="U152" s="66">
        <f>N152-O152-Q152</f>
        <v>0</v>
      </c>
      <c r="V152" s="8"/>
      <c r="W152" s="7" t="str">
        <f>IF(U152=0,"No Due","Outstanding")</f>
        <v>No Due</v>
      </c>
      <c r="Z152" s="266">
        <v>0</v>
      </c>
      <c r="AA152" s="41">
        <v>0</v>
      </c>
      <c r="AB152" s="41">
        <v>0</v>
      </c>
      <c r="AC152" s="41">
        <v>0</v>
      </c>
      <c r="AD152" s="41">
        <v>0</v>
      </c>
      <c r="AE152" s="236">
        <f>SUM(Z152:AD152)</f>
        <v>0</v>
      </c>
      <c r="AF152" s="239">
        <f>J152-AE152</f>
        <v>800</v>
      </c>
      <c r="AG152" s="237">
        <f>AF152</f>
        <v>800</v>
      </c>
      <c r="AH152" s="237">
        <v>0</v>
      </c>
      <c r="AI152" s="237"/>
    </row>
    <row r="153" spans="1:35" ht="30" customHeight="1" x14ac:dyDescent="0.3">
      <c r="A153" s="3">
        <f>A152+1</f>
        <v>152</v>
      </c>
      <c r="B153" s="243" t="s">
        <v>444</v>
      </c>
      <c r="C153" s="46">
        <v>45867</v>
      </c>
      <c r="D153" s="146" t="s">
        <v>288</v>
      </c>
      <c r="E153" s="277" t="s">
        <v>544</v>
      </c>
      <c r="F153" s="146" t="s">
        <v>289</v>
      </c>
      <c r="G153" s="147">
        <v>36</v>
      </c>
      <c r="H153" s="8" t="s">
        <v>287</v>
      </c>
      <c r="I153" s="24" t="s">
        <v>548</v>
      </c>
      <c r="J153" s="162">
        <v>492001.07</v>
      </c>
      <c r="K153" s="148">
        <f>ROUND(IF(G153=36,J153*9%,0),0)</f>
        <v>44280</v>
      </c>
      <c r="L153" s="40">
        <f>ROUND(IF(G153=36,J153*9%,0),0)</f>
        <v>44280</v>
      </c>
      <c r="M153" s="40">
        <f>ROUND(IF(G153=36,J153*0%,J153*18%),0)</f>
        <v>0</v>
      </c>
      <c r="N153" s="406">
        <f>J153+K153+L153+M153</f>
        <v>580561.07000000007</v>
      </c>
      <c r="O153" s="21">
        <f>J153*0.25%</f>
        <v>1230.002675</v>
      </c>
      <c r="P153" s="9">
        <f>O153/J153</f>
        <v>2.5000000000000001E-3</v>
      </c>
      <c r="Q153" s="23">
        <f>N153-O153</f>
        <v>579331.06732500007</v>
      </c>
      <c r="R153" s="67">
        <v>45875</v>
      </c>
      <c r="S153" s="6" t="s">
        <v>74</v>
      </c>
      <c r="T153" s="10" t="s">
        <v>322</v>
      </c>
      <c r="U153" s="66">
        <f>N153-O153-Q153</f>
        <v>0</v>
      </c>
      <c r="V153" s="8"/>
      <c r="W153" s="7" t="str">
        <f>IF(U153=0,"No Due","Outstanding")</f>
        <v>No Due</v>
      </c>
      <c r="Z153" s="266">
        <v>544152</v>
      </c>
      <c r="AA153" s="41">
        <v>108361</v>
      </c>
      <c r="AB153" s="41">
        <v>18105</v>
      </c>
      <c r="AC153" s="41">
        <v>4350</v>
      </c>
      <c r="AD153" s="41">
        <v>0</v>
      </c>
      <c r="AE153" s="236">
        <f>SUM(Z153:AD153)</f>
        <v>674968</v>
      </c>
      <c r="AF153" s="239">
        <f>J153-AE153</f>
        <v>-182966.93</v>
      </c>
      <c r="AG153" s="237">
        <f>AF153</f>
        <v>-182966.93</v>
      </c>
      <c r="AH153" s="237">
        <v>0</v>
      </c>
      <c r="AI153" s="237"/>
    </row>
    <row r="154" spans="1:35" ht="30" customHeight="1" x14ac:dyDescent="0.3">
      <c r="A154" s="3">
        <f>A153+1</f>
        <v>153</v>
      </c>
      <c r="B154" s="243" t="s">
        <v>444</v>
      </c>
      <c r="C154" s="46">
        <v>45867</v>
      </c>
      <c r="D154" s="146" t="s">
        <v>288</v>
      </c>
      <c r="E154" s="277" t="s">
        <v>545</v>
      </c>
      <c r="F154" s="146" t="s">
        <v>289</v>
      </c>
      <c r="G154" s="147">
        <v>36</v>
      </c>
      <c r="H154" s="8" t="s">
        <v>287</v>
      </c>
      <c r="I154" s="24" t="s">
        <v>549</v>
      </c>
      <c r="J154" s="162">
        <v>127620</v>
      </c>
      <c r="K154" s="148">
        <f>ROUND(IF(G154=36,J154*9%,0),0)</f>
        <v>11486</v>
      </c>
      <c r="L154" s="40">
        <f>ROUND(IF(G154=36,J154*9%,0),0)</f>
        <v>11486</v>
      </c>
      <c r="M154" s="40">
        <f>ROUND(IF(G154=36,J154*0%,J154*18%),0)</f>
        <v>0</v>
      </c>
      <c r="N154" s="406">
        <f>J154+K154+L154+M154</f>
        <v>150592</v>
      </c>
      <c r="O154" s="21">
        <f>J154*0.25%</f>
        <v>319.05</v>
      </c>
      <c r="P154" s="9">
        <f>O154/J154</f>
        <v>2.5000000000000001E-3</v>
      </c>
      <c r="Q154" s="23">
        <f>N154-O154</f>
        <v>150272.95000000001</v>
      </c>
      <c r="R154" s="67">
        <v>45875</v>
      </c>
      <c r="S154" s="6" t="s">
        <v>74</v>
      </c>
      <c r="T154" s="10" t="s">
        <v>322</v>
      </c>
      <c r="U154" s="66">
        <f>N154-O154-Q154</f>
        <v>0</v>
      </c>
      <c r="V154" s="8"/>
      <c r="W154" s="7" t="str">
        <f>IF(U154=0,"No Due","Outstanding")</f>
        <v>No Due</v>
      </c>
      <c r="Z154" s="266"/>
      <c r="AA154" s="41">
        <v>0</v>
      </c>
      <c r="AB154" s="41">
        <v>0</v>
      </c>
      <c r="AC154" s="41">
        <v>0</v>
      </c>
      <c r="AD154" s="41">
        <v>0</v>
      </c>
      <c r="AE154" s="236">
        <f>SUM(Z154:AD154)</f>
        <v>0</v>
      </c>
      <c r="AF154" s="239">
        <f>J154-AE154</f>
        <v>127620</v>
      </c>
      <c r="AG154" s="237">
        <f>AF154</f>
        <v>127620</v>
      </c>
      <c r="AH154" s="237">
        <v>0</v>
      </c>
      <c r="AI154" s="237"/>
    </row>
    <row r="155" spans="1:35" ht="30" customHeight="1" x14ac:dyDescent="0.3">
      <c r="A155" s="3">
        <f>A154+1</f>
        <v>154</v>
      </c>
      <c r="B155" s="243" t="s">
        <v>444</v>
      </c>
      <c r="C155" s="46">
        <v>45867</v>
      </c>
      <c r="D155" s="146" t="s">
        <v>288</v>
      </c>
      <c r="E155" s="277" t="s">
        <v>546</v>
      </c>
      <c r="F155" s="146" t="s">
        <v>289</v>
      </c>
      <c r="G155" s="147">
        <v>36</v>
      </c>
      <c r="H155" s="8" t="s">
        <v>287</v>
      </c>
      <c r="I155" s="24" t="s">
        <v>548</v>
      </c>
      <c r="J155" s="162">
        <v>87266.02</v>
      </c>
      <c r="K155" s="148">
        <f>ROUND(IF(G155=36,J155*9%,0),0)</f>
        <v>7854</v>
      </c>
      <c r="L155" s="40">
        <f>ROUND(IF(G155=36,J155*9%,0),0)</f>
        <v>7854</v>
      </c>
      <c r="M155" s="40">
        <f>ROUND(IF(G155=36,J155*0%,J155*18%),0)</f>
        <v>0</v>
      </c>
      <c r="N155" s="406">
        <f>J155+K155+L155+M155</f>
        <v>102974.02</v>
      </c>
      <c r="O155" s="21">
        <f>J155*0.25%</f>
        <v>218.16505000000001</v>
      </c>
      <c r="P155" s="9">
        <f>O155/J155</f>
        <v>2.5000000000000001E-3</v>
      </c>
      <c r="Q155" s="23">
        <f>N155-O155</f>
        <v>102755.85495000001</v>
      </c>
      <c r="R155" s="67">
        <v>45875</v>
      </c>
      <c r="S155" s="6" t="s">
        <v>74</v>
      </c>
      <c r="T155" s="10" t="s">
        <v>322</v>
      </c>
      <c r="U155" s="66">
        <f>N155-O155-Q155</f>
        <v>0</v>
      </c>
      <c r="V155" s="8"/>
      <c r="W155" s="7" t="str">
        <f>IF(U155=0,"No Due","Outstanding")</f>
        <v>No Due</v>
      </c>
      <c r="Z155" s="266"/>
      <c r="AA155" s="41"/>
      <c r="AB155" s="41"/>
      <c r="AC155" s="41">
        <v>0</v>
      </c>
      <c r="AD155" s="41">
        <v>0</v>
      </c>
      <c r="AE155" s="236">
        <f>SUM(Z155:AD155)</f>
        <v>0</v>
      </c>
      <c r="AF155" s="239">
        <f>J155-AE155</f>
        <v>87266.02</v>
      </c>
      <c r="AG155" s="237">
        <f>AF155</f>
        <v>87266.02</v>
      </c>
      <c r="AH155" s="237">
        <v>0</v>
      </c>
      <c r="AI155" s="237"/>
    </row>
    <row r="156" spans="1:35" ht="30" customHeight="1" x14ac:dyDescent="0.3">
      <c r="A156" s="3">
        <f>A155+1</f>
        <v>155</v>
      </c>
      <c r="B156" s="243" t="s">
        <v>444</v>
      </c>
      <c r="C156" s="46">
        <v>45867</v>
      </c>
      <c r="D156" s="146" t="s">
        <v>288</v>
      </c>
      <c r="E156" s="277" t="s">
        <v>547</v>
      </c>
      <c r="F156" s="146" t="s">
        <v>289</v>
      </c>
      <c r="G156" s="147">
        <v>36</v>
      </c>
      <c r="H156" s="8" t="s">
        <v>287</v>
      </c>
      <c r="I156" s="24" t="s">
        <v>549</v>
      </c>
      <c r="J156" s="162">
        <v>37661</v>
      </c>
      <c r="K156" s="148">
        <f>ROUND(IF(G156=36,J156*9%,0),0)</f>
        <v>3389</v>
      </c>
      <c r="L156" s="40">
        <f>ROUND(IF(G156=36,J156*9%,0),0)</f>
        <v>3389</v>
      </c>
      <c r="M156" s="40">
        <f>ROUND(IF(G156=36,J156*0%,J156*18%),0)</f>
        <v>0</v>
      </c>
      <c r="N156" s="406">
        <f>J156+K156+L156+M156</f>
        <v>44439</v>
      </c>
      <c r="O156" s="21">
        <f>J156*0.25%</f>
        <v>94.152500000000003</v>
      </c>
      <c r="P156" s="9">
        <f>O156/J156</f>
        <v>2.5000000000000001E-3</v>
      </c>
      <c r="Q156" s="23">
        <f>N156-O156</f>
        <v>44344.847500000003</v>
      </c>
      <c r="R156" s="67">
        <v>45875</v>
      </c>
      <c r="S156" s="6" t="s">
        <v>74</v>
      </c>
      <c r="T156" s="10" t="s">
        <v>322</v>
      </c>
      <c r="U156" s="66">
        <f>N156-O156-Q156</f>
        <v>0</v>
      </c>
      <c r="V156" s="8"/>
      <c r="W156" s="7" t="str">
        <f>IF(U156=0,"No Due","Outstanding")</f>
        <v>No Due</v>
      </c>
      <c r="Z156" s="266"/>
      <c r="AA156" s="41">
        <v>0</v>
      </c>
      <c r="AB156" s="41">
        <v>0</v>
      </c>
      <c r="AC156" s="41">
        <v>0</v>
      </c>
      <c r="AD156" s="41">
        <v>0</v>
      </c>
      <c r="AE156" s="236">
        <f>SUM(Z156:AD156)</f>
        <v>0</v>
      </c>
      <c r="AF156" s="239">
        <f>J156-AE156</f>
        <v>37661</v>
      </c>
      <c r="AG156" s="237">
        <f>AF156</f>
        <v>37661</v>
      </c>
      <c r="AH156" s="237">
        <v>0</v>
      </c>
      <c r="AI156" s="237"/>
    </row>
    <row r="157" spans="1:35" ht="30" hidden="1" customHeight="1" x14ac:dyDescent="0.3">
      <c r="A157" s="3">
        <f>A156+1</f>
        <v>156</v>
      </c>
      <c r="B157" s="243" t="s">
        <v>444</v>
      </c>
      <c r="C157" s="46">
        <v>45869</v>
      </c>
      <c r="D157" s="75" t="s">
        <v>70</v>
      </c>
      <c r="E157" s="281" t="s">
        <v>550</v>
      </c>
      <c r="F157" s="260" t="s">
        <v>126</v>
      </c>
      <c r="G157" s="261">
        <v>24</v>
      </c>
      <c r="H157" s="8" t="s">
        <v>125</v>
      </c>
      <c r="I157" s="24" t="s">
        <v>551</v>
      </c>
      <c r="J157" s="45">
        <v>11710532</v>
      </c>
      <c r="K157" s="43">
        <f>ROUND(IF(G157=36,J157*9%,0),0)</f>
        <v>0</v>
      </c>
      <c r="L157" s="40">
        <f>ROUND(IF(G157=36,J157*9%,0),0)</f>
        <v>0</v>
      </c>
      <c r="M157" s="40">
        <f>ROUND(IF(G157=36,J157*0%,J157*18%),0)</f>
        <v>2107896</v>
      </c>
      <c r="N157" s="406">
        <f>J157+K157+L157+M157</f>
        <v>13818428</v>
      </c>
      <c r="O157" s="21">
        <f>N157-Q157</f>
        <v>29276.240000000224</v>
      </c>
      <c r="P157" s="9">
        <f>O157/J157</f>
        <v>2.4999923146104912E-3</v>
      </c>
      <c r="Q157" s="23">
        <v>13789151.76</v>
      </c>
      <c r="R157" s="67">
        <v>45874</v>
      </c>
      <c r="S157" s="6" t="s">
        <v>74</v>
      </c>
      <c r="T157" s="10" t="s">
        <v>569</v>
      </c>
      <c r="U157" s="66">
        <f>N157-O157-Q157</f>
        <v>0</v>
      </c>
      <c r="V157" s="8"/>
      <c r="W157" s="7" t="str">
        <f>IF(U157=0,"No Due","Outstanding")</f>
        <v>No Due</v>
      </c>
      <c r="Z157" s="266">
        <v>9830042</v>
      </c>
      <c r="AA157" s="41">
        <v>1317640</v>
      </c>
      <c r="AB157" s="41">
        <v>0</v>
      </c>
      <c r="AC157" s="41">
        <v>72400</v>
      </c>
      <c r="AD157" s="41">
        <v>0</v>
      </c>
      <c r="AE157" s="236">
        <f>SUM(Z157:AD157)</f>
        <v>11220082</v>
      </c>
      <c r="AF157" s="239">
        <f>J157-AE157</f>
        <v>490450</v>
      </c>
      <c r="AG157" s="237">
        <f>AF157-156000</f>
        <v>334450</v>
      </c>
      <c r="AH157" s="237">
        <v>156000</v>
      </c>
      <c r="AI157" s="237"/>
    </row>
    <row r="158" spans="1:35" ht="30" hidden="1" customHeight="1" x14ac:dyDescent="0.3">
      <c r="A158" s="3">
        <f>A157+1</f>
        <v>157</v>
      </c>
      <c r="B158" s="283" t="s">
        <v>555</v>
      </c>
      <c r="C158" s="46">
        <v>45870</v>
      </c>
      <c r="D158" s="164" t="s">
        <v>70</v>
      </c>
      <c r="E158" s="282" t="s">
        <v>552</v>
      </c>
      <c r="F158" s="260" t="s">
        <v>134</v>
      </c>
      <c r="G158" s="261">
        <v>10</v>
      </c>
      <c r="H158" s="8" t="s">
        <v>39</v>
      </c>
      <c r="I158" s="24" t="s">
        <v>554</v>
      </c>
      <c r="J158" s="45">
        <v>39001</v>
      </c>
      <c r="K158" s="166">
        <f>ROUND(IF(G158=36,J158*9%,0),0)</f>
        <v>0</v>
      </c>
      <c r="L158" s="40">
        <f>ROUND(IF(G158=36,J158*9%,0),0)</f>
        <v>0</v>
      </c>
      <c r="M158" s="40">
        <f>ROUND(IF(G158=36,J158*0%,J158*18%),0)</f>
        <v>7020</v>
      </c>
      <c r="N158" s="406">
        <f>J158+K158+L158+M158</f>
        <v>46021</v>
      </c>
      <c r="O158" s="21">
        <f>N158-Q158</f>
        <v>781</v>
      </c>
      <c r="P158" s="9">
        <f>O158/J158</f>
        <v>2.0025127560831774E-2</v>
      </c>
      <c r="Q158" s="23">
        <f>42120+3120</f>
        <v>45240</v>
      </c>
      <c r="R158" s="316" t="s">
        <v>665</v>
      </c>
      <c r="S158" s="6" t="s">
        <v>74</v>
      </c>
      <c r="T158" s="10" t="s">
        <v>136</v>
      </c>
      <c r="U158" s="66">
        <f>N158-O158-Q158</f>
        <v>0</v>
      </c>
      <c r="V158" s="8" t="s">
        <v>666</v>
      </c>
      <c r="W158" s="7" t="str">
        <f>IF(U158=0,"No Due","Outstanding")</f>
        <v>No Due</v>
      </c>
      <c r="Z158" s="266">
        <v>34201</v>
      </c>
      <c r="AA158" s="41">
        <v>3750</v>
      </c>
      <c r="AB158" s="41">
        <v>0</v>
      </c>
      <c r="AC158" s="41">
        <v>200</v>
      </c>
      <c r="AD158" s="41">
        <v>0</v>
      </c>
      <c r="AE158" s="236">
        <f>SUM(Z158:AD158)</f>
        <v>38151</v>
      </c>
      <c r="AF158" s="239">
        <f>J158-AE158</f>
        <v>850</v>
      </c>
      <c r="AG158" s="237">
        <f>AF158</f>
        <v>850</v>
      </c>
      <c r="AH158" s="237">
        <v>0</v>
      </c>
      <c r="AI158" s="237"/>
    </row>
    <row r="159" spans="1:35" ht="30" hidden="1" customHeight="1" x14ac:dyDescent="0.3">
      <c r="A159" s="3">
        <f>A158+1</f>
        <v>158</v>
      </c>
      <c r="B159" s="283" t="s">
        <v>555</v>
      </c>
      <c r="C159" s="46">
        <v>45870</v>
      </c>
      <c r="D159" s="164" t="s">
        <v>70</v>
      </c>
      <c r="E159" s="282" t="s">
        <v>553</v>
      </c>
      <c r="F159" s="260" t="s">
        <v>134</v>
      </c>
      <c r="G159" s="261">
        <v>10</v>
      </c>
      <c r="H159" s="8" t="s">
        <v>39</v>
      </c>
      <c r="I159" s="24" t="s">
        <v>554</v>
      </c>
      <c r="J159" s="45">
        <v>60709</v>
      </c>
      <c r="K159" s="166">
        <f>ROUND(IF(G159=36,J159*9%,0),0)</f>
        <v>0</v>
      </c>
      <c r="L159" s="40">
        <f>ROUND(IF(G159=36,J159*9%,0),0)</f>
        <v>0</v>
      </c>
      <c r="M159" s="40">
        <f>ROUND(IF(G159=36,J159*0%,J159*18%),0)</f>
        <v>10928</v>
      </c>
      <c r="N159" s="406">
        <f>J159+K159+L159+M159</f>
        <v>71637</v>
      </c>
      <c r="O159" s="21">
        <f>N159-Q159</f>
        <v>6071.3800000000047</v>
      </c>
      <c r="P159" s="9">
        <f>O159/J159</f>
        <v>0.10000790657068977</v>
      </c>
      <c r="Q159" s="23">
        <f>65565.62</f>
        <v>65565.62</v>
      </c>
      <c r="R159" s="67">
        <v>45901</v>
      </c>
      <c r="S159" s="6" t="s">
        <v>74</v>
      </c>
      <c r="T159" s="10" t="s">
        <v>136</v>
      </c>
      <c r="U159" s="66">
        <f>N159-O159-Q159</f>
        <v>0</v>
      </c>
      <c r="V159" s="8"/>
      <c r="W159" s="7" t="str">
        <f>IF(U159=0,"No Due","Outstanding")</f>
        <v>No Due</v>
      </c>
      <c r="Z159" s="266">
        <v>55909</v>
      </c>
      <c r="AA159" s="41">
        <v>3750</v>
      </c>
      <c r="AB159" s="41">
        <v>0</v>
      </c>
      <c r="AC159" s="41">
        <v>200</v>
      </c>
      <c r="AD159" s="41">
        <v>0</v>
      </c>
      <c r="AE159" s="236">
        <f>SUM(Z159:AD159)</f>
        <v>59859</v>
      </c>
      <c r="AF159" s="239">
        <f>J159-AE159</f>
        <v>850</v>
      </c>
      <c r="AG159" s="237">
        <f>AF159</f>
        <v>850</v>
      </c>
      <c r="AH159" s="237">
        <v>0</v>
      </c>
      <c r="AI159" s="237"/>
    </row>
    <row r="160" spans="1:35" ht="30" hidden="1" customHeight="1" x14ac:dyDescent="0.3">
      <c r="A160" s="3">
        <f>A159+1</f>
        <v>159</v>
      </c>
      <c r="B160" s="283" t="s">
        <v>555</v>
      </c>
      <c r="C160" s="46">
        <v>45873</v>
      </c>
      <c r="D160" s="123" t="s">
        <v>70</v>
      </c>
      <c r="E160" s="284" t="s">
        <v>556</v>
      </c>
      <c r="F160" s="260" t="s">
        <v>142</v>
      </c>
      <c r="G160" s="261">
        <v>24</v>
      </c>
      <c r="H160" s="8" t="s">
        <v>46</v>
      </c>
      <c r="I160" s="24" t="s">
        <v>557</v>
      </c>
      <c r="J160" s="45">
        <v>196400</v>
      </c>
      <c r="K160" s="125">
        <f>ROUND(IF(G160=36,J160*9%,0),0)</f>
        <v>0</v>
      </c>
      <c r="L160" s="40">
        <f>ROUND(IF(G160=36,J160*9%,0),0)</f>
        <v>0</v>
      </c>
      <c r="M160" s="40">
        <f>ROUND(IF(G160=36,J160*0%,J160*18%),0)</f>
        <v>35352</v>
      </c>
      <c r="N160" s="406">
        <f>J160+K160+L160+M160</f>
        <v>231752</v>
      </c>
      <c r="O160" s="21">
        <f>N160-Q160</f>
        <v>3928</v>
      </c>
      <c r="P160" s="9">
        <f>O160/J160</f>
        <v>0.02</v>
      </c>
      <c r="Q160" s="23">
        <v>227824</v>
      </c>
      <c r="R160" s="67">
        <v>45926</v>
      </c>
      <c r="S160" s="6" t="s">
        <v>74</v>
      </c>
      <c r="T160" s="10" t="s">
        <v>96</v>
      </c>
      <c r="U160" s="66">
        <f>N160-O160-Q160</f>
        <v>0</v>
      </c>
      <c r="V160" s="8"/>
      <c r="W160" s="7" t="str">
        <f>IF(U160=0,"No Due","Outstanding")</f>
        <v>No Due</v>
      </c>
      <c r="Z160" s="266">
        <v>182000</v>
      </c>
      <c r="AA160" s="41">
        <v>11250</v>
      </c>
      <c r="AB160" s="41">
        <v>0</v>
      </c>
      <c r="AC160" s="41">
        <v>600</v>
      </c>
      <c r="AD160" s="41">
        <v>0</v>
      </c>
      <c r="AE160" s="236">
        <f>SUM(Z160:AD160)</f>
        <v>193850</v>
      </c>
      <c r="AF160" s="239">
        <f>J160-AE160</f>
        <v>2550</v>
      </c>
      <c r="AG160" s="237">
        <f>AF160</f>
        <v>2550</v>
      </c>
      <c r="AH160" s="237">
        <v>0</v>
      </c>
      <c r="AI160" s="237"/>
    </row>
    <row r="161" spans="1:35" ht="30" hidden="1" customHeight="1" x14ac:dyDescent="0.3">
      <c r="A161" s="3">
        <f>A160+1</f>
        <v>160</v>
      </c>
      <c r="B161" s="283" t="s">
        <v>555</v>
      </c>
      <c r="C161" s="46">
        <v>45873</v>
      </c>
      <c r="D161" s="167" t="s">
        <v>70</v>
      </c>
      <c r="E161" s="286" t="s">
        <v>561</v>
      </c>
      <c r="F161" s="260" t="s">
        <v>138</v>
      </c>
      <c r="G161" s="261">
        <v>36</v>
      </c>
      <c r="H161" s="8" t="s">
        <v>49</v>
      </c>
      <c r="I161" s="24" t="s">
        <v>564</v>
      </c>
      <c r="J161" s="45">
        <v>21157614</v>
      </c>
      <c r="K161" s="169">
        <f>ROUND(IF(G161=36,J161*9%,0),0)</f>
        <v>1904185</v>
      </c>
      <c r="L161" s="40">
        <f>ROUND(IF(G161=36,J161*9%,0),0)</f>
        <v>1904185</v>
      </c>
      <c r="M161" s="40">
        <f>ROUND(IF(G161=36,J161*0%,J161*18%),0)</f>
        <v>0</v>
      </c>
      <c r="N161" s="407">
        <f>J161+K161+L161+M161</f>
        <v>24965984</v>
      </c>
      <c r="O161" s="21">
        <f>N161-Q161</f>
        <v>52893.480000000447</v>
      </c>
      <c r="P161" s="9">
        <f>O161/J161</f>
        <v>2.4999737683086783E-3</v>
      </c>
      <c r="Q161" s="23">
        <f>24913090.52</f>
        <v>24913090.52</v>
      </c>
      <c r="R161" s="67">
        <v>45897</v>
      </c>
      <c r="S161" s="6" t="s">
        <v>74</v>
      </c>
      <c r="T161" s="10" t="s">
        <v>96</v>
      </c>
      <c r="U161" s="66">
        <f>N161-O161-Q161</f>
        <v>0</v>
      </c>
      <c r="V161" s="8"/>
      <c r="W161" s="7" t="str">
        <f>IF(U161=0,"No Due","Outstanding")</f>
        <v>No Due</v>
      </c>
      <c r="Z161" s="266">
        <v>19158079</v>
      </c>
      <c r="AA161" s="41">
        <v>1661985</v>
      </c>
      <c r="AB161" s="41">
        <v>0</v>
      </c>
      <c r="AC161" s="41">
        <v>88200</v>
      </c>
      <c r="AD161" s="41">
        <v>3500</v>
      </c>
      <c r="AE161" s="236">
        <f>SUM(Z161:AD161)</f>
        <v>20911764</v>
      </c>
      <c r="AF161" s="239">
        <f>J161-AE161</f>
        <v>245850</v>
      </c>
      <c r="AG161" s="237">
        <f>AF161</f>
        <v>245850</v>
      </c>
      <c r="AH161" s="237">
        <v>0</v>
      </c>
      <c r="AI161" s="237"/>
    </row>
    <row r="162" spans="1:35" ht="30" hidden="1" customHeight="1" x14ac:dyDescent="0.3">
      <c r="A162" s="3">
        <f>A161+1</f>
        <v>161</v>
      </c>
      <c r="B162" s="283" t="s">
        <v>555</v>
      </c>
      <c r="C162" s="46">
        <v>45873</v>
      </c>
      <c r="D162" s="167" t="s">
        <v>70</v>
      </c>
      <c r="E162" s="286" t="s">
        <v>562</v>
      </c>
      <c r="F162" s="260" t="s">
        <v>158</v>
      </c>
      <c r="G162" s="261">
        <v>21</v>
      </c>
      <c r="H162" s="8" t="s">
        <v>56</v>
      </c>
      <c r="I162" s="24" t="s">
        <v>565</v>
      </c>
      <c r="J162" s="45">
        <v>18731</v>
      </c>
      <c r="K162" s="169">
        <f>ROUND(IF(G162=36,J162*9%,0),0)</f>
        <v>0</v>
      </c>
      <c r="L162" s="40">
        <f>ROUND(IF(G162=36,J162*9%,0),0)</f>
        <v>0</v>
      </c>
      <c r="M162" s="40">
        <f>ROUND(IF(G162=36,J162*0%,J162*18%),0)</f>
        <v>3372</v>
      </c>
      <c r="N162" s="407">
        <f>J162+K162+L162+M162</f>
        <v>22103</v>
      </c>
      <c r="O162" s="21">
        <f>N162-Q162</f>
        <v>47.419999999998254</v>
      </c>
      <c r="P162" s="9">
        <f>O162/J162</f>
        <v>2.5316320538144388E-3</v>
      </c>
      <c r="Q162" s="23">
        <f>22055.58</f>
        <v>22055.58</v>
      </c>
      <c r="R162" s="67">
        <v>45901</v>
      </c>
      <c r="S162" s="6" t="s">
        <v>74</v>
      </c>
      <c r="T162" s="10" t="s">
        <v>96</v>
      </c>
      <c r="U162" s="66">
        <f>N162-O162-Q162</f>
        <v>0</v>
      </c>
      <c r="V162" s="8"/>
      <c r="W162" s="7" t="str">
        <f>IF(U162=0,"No Due","Outstanding")</f>
        <v>No Due</v>
      </c>
      <c r="Z162" s="266">
        <v>14965</v>
      </c>
      <c r="AA162" s="41">
        <v>3066</v>
      </c>
      <c r="AB162" s="41">
        <v>0</v>
      </c>
      <c r="AC162" s="41">
        <v>150</v>
      </c>
      <c r="AD162" s="41">
        <v>0</v>
      </c>
      <c r="AE162" s="236">
        <f>SUM(Z162:AD162)</f>
        <v>18181</v>
      </c>
      <c r="AF162" s="239">
        <f>J162-AE162</f>
        <v>550</v>
      </c>
      <c r="AG162" s="237">
        <f>AF162</f>
        <v>550</v>
      </c>
      <c r="AH162" s="237">
        <v>0</v>
      </c>
      <c r="AI162" s="237"/>
    </row>
    <row r="163" spans="1:35" ht="30" hidden="1" customHeight="1" x14ac:dyDescent="0.3">
      <c r="A163" s="3">
        <f>A162+1</f>
        <v>162</v>
      </c>
      <c r="B163" s="283" t="s">
        <v>555</v>
      </c>
      <c r="C163" s="46">
        <v>45873</v>
      </c>
      <c r="D163" s="167" t="s">
        <v>70</v>
      </c>
      <c r="E163" s="286" t="s">
        <v>563</v>
      </c>
      <c r="F163" s="260" t="s">
        <v>138</v>
      </c>
      <c r="G163" s="261">
        <v>36</v>
      </c>
      <c r="H163" s="8" t="s">
        <v>49</v>
      </c>
      <c r="I163" s="24" t="s">
        <v>566</v>
      </c>
      <c r="J163" s="45">
        <v>227382</v>
      </c>
      <c r="K163" s="169">
        <f>ROUND(IF(G163=36,J163*9%,0),0)</f>
        <v>20464</v>
      </c>
      <c r="L163" s="40">
        <f>ROUND(IF(G163=36,J163*9%,0),0)</f>
        <v>20464</v>
      </c>
      <c r="M163" s="40">
        <f>ROUND(IF(G163=36,J163*0%,J163*18%),0)</f>
        <v>0</v>
      </c>
      <c r="N163" s="407">
        <f>J163+K163+L163+M163</f>
        <v>268310</v>
      </c>
      <c r="O163" s="21">
        <f>N163-Q163</f>
        <v>567.23999999999069</v>
      </c>
      <c r="P163" s="9">
        <f>O163/J163</f>
        <v>2.4946565691215256E-3</v>
      </c>
      <c r="Q163" s="23">
        <v>267742.76</v>
      </c>
      <c r="R163" s="67">
        <v>45897</v>
      </c>
      <c r="S163" s="6" t="s">
        <v>74</v>
      </c>
      <c r="T163" s="10" t="s">
        <v>96</v>
      </c>
      <c r="U163" s="66">
        <f>N163-O163-Q163</f>
        <v>0</v>
      </c>
      <c r="V163" s="8"/>
      <c r="W163" s="7" t="str">
        <f>IF(U163=0,"No Due","Outstanding")</f>
        <v>No Due</v>
      </c>
      <c r="Z163" s="266">
        <v>222982</v>
      </c>
      <c r="AA163" s="41">
        <v>0</v>
      </c>
      <c r="AB163" s="41">
        <v>0</v>
      </c>
      <c r="AC163" s="41">
        <v>0</v>
      </c>
      <c r="AD163" s="41">
        <v>0</v>
      </c>
      <c r="AE163" s="236">
        <f>SUM(Z163:AD163)</f>
        <v>222982</v>
      </c>
      <c r="AF163" s="239">
        <f>J163-AE163</f>
        <v>4400</v>
      </c>
      <c r="AG163" s="237">
        <f>AF163</f>
        <v>4400</v>
      </c>
      <c r="AH163" s="237">
        <v>0</v>
      </c>
      <c r="AI163" s="237"/>
    </row>
    <row r="164" spans="1:35" ht="30" hidden="1" customHeight="1" x14ac:dyDescent="0.3">
      <c r="A164" s="3">
        <f>A163+1</f>
        <v>163</v>
      </c>
      <c r="B164" s="283" t="s">
        <v>555</v>
      </c>
      <c r="C164" s="46">
        <v>45873</v>
      </c>
      <c r="D164" s="167" t="s">
        <v>70</v>
      </c>
      <c r="E164" s="286" t="s">
        <v>567</v>
      </c>
      <c r="F164" s="167" t="s">
        <v>138</v>
      </c>
      <c r="G164" s="168">
        <v>36</v>
      </c>
      <c r="H164" s="8" t="s">
        <v>49</v>
      </c>
      <c r="I164" s="24" t="s">
        <v>568</v>
      </c>
      <c r="J164" s="39">
        <v>815130</v>
      </c>
      <c r="K164" s="169">
        <f>ROUND(IF(G164=36,J164*9%,0),0)</f>
        <v>73362</v>
      </c>
      <c r="L164" s="40">
        <f>ROUND(IF(G164=36,J164*9%,0),0)</f>
        <v>73362</v>
      </c>
      <c r="M164" s="40">
        <f>ROUND(IF(G164=36,J164*0%,J164*18%),0)</f>
        <v>0</v>
      </c>
      <c r="N164" s="407">
        <f>J164+K164+L164+M164</f>
        <v>961854</v>
      </c>
      <c r="O164" s="21">
        <f>N164-Q164</f>
        <v>2038.5999999999767</v>
      </c>
      <c r="P164" s="9">
        <f>O164/J164</f>
        <v>2.500950768589031E-3</v>
      </c>
      <c r="Q164" s="23">
        <v>959815.4</v>
      </c>
      <c r="R164" s="67">
        <v>45897</v>
      </c>
      <c r="S164" s="6" t="s">
        <v>74</v>
      </c>
      <c r="T164" s="10" t="s">
        <v>96</v>
      </c>
      <c r="U164" s="66">
        <f>N164-O164-Q164</f>
        <v>0</v>
      </c>
      <c r="V164" s="8"/>
      <c r="W164" s="7" t="str">
        <f>IF(U164=0,"No Due","Outstanding")</f>
        <v>No Due</v>
      </c>
      <c r="Z164" s="266">
        <v>782680</v>
      </c>
      <c r="AA164" s="41">
        <v>0</v>
      </c>
      <c r="AB164" s="41">
        <v>0</v>
      </c>
      <c r="AC164" s="41">
        <v>0</v>
      </c>
      <c r="AD164" s="41">
        <v>0</v>
      </c>
      <c r="AE164" s="236">
        <f>SUM(Z164:AD164)</f>
        <v>782680</v>
      </c>
      <c r="AF164" s="239">
        <f>J164-AE164</f>
        <v>32450</v>
      </c>
      <c r="AG164" s="237">
        <f>AF164</f>
        <v>32450</v>
      </c>
      <c r="AH164" s="237">
        <v>0</v>
      </c>
      <c r="AI164" s="237"/>
    </row>
    <row r="165" spans="1:35" ht="30" hidden="1" customHeight="1" x14ac:dyDescent="0.3">
      <c r="A165" s="3">
        <f>A164+1</f>
        <v>164</v>
      </c>
      <c r="B165" s="283" t="s">
        <v>555</v>
      </c>
      <c r="C165" s="46">
        <v>45874</v>
      </c>
      <c r="D165" s="46" t="s">
        <v>33</v>
      </c>
      <c r="E165" s="287" t="s">
        <v>570</v>
      </c>
      <c r="F165" s="260" t="s">
        <v>34</v>
      </c>
      <c r="G165" s="261">
        <v>36</v>
      </c>
      <c r="H165" s="8" t="s">
        <v>55</v>
      </c>
      <c r="I165" s="24" t="s">
        <v>573</v>
      </c>
      <c r="J165" s="45">
        <f>(72050*24)+(53350*1)+(99751*8)</f>
        <v>2580558</v>
      </c>
      <c r="K165" s="43">
        <f>ROUND(IF(G165=36,J165*9%,0),0)</f>
        <v>232250</v>
      </c>
      <c r="L165" s="40">
        <f>ROUND(IF(G165=36,J165*9%,0),0)</f>
        <v>232250</v>
      </c>
      <c r="M165" s="40">
        <f>ROUND(IF(G165=36,J165*0%,J165*18%),0)</f>
        <v>0</v>
      </c>
      <c r="N165" s="406">
        <f>J165+K165+L165+M165</f>
        <v>3045058</v>
      </c>
      <c r="O165" s="21">
        <f>N165-Q165</f>
        <v>6449</v>
      </c>
      <c r="P165" s="9">
        <f>O165/J165</f>
        <v>2.4990719061536303E-3</v>
      </c>
      <c r="Q165" s="23">
        <v>3038609</v>
      </c>
      <c r="R165" s="67">
        <v>45919</v>
      </c>
      <c r="S165" s="6" t="s">
        <v>74</v>
      </c>
      <c r="T165" s="10" t="s">
        <v>124</v>
      </c>
      <c r="U165" s="66">
        <f>N165-O165-Q165</f>
        <v>0</v>
      </c>
      <c r="V165" s="8"/>
      <c r="W165" s="7" t="str">
        <f>IF(U165=0,"No Due","Outstanding")</f>
        <v>No Due</v>
      </c>
      <c r="Z165" s="266">
        <v>1918209</v>
      </c>
      <c r="AA165" s="41">
        <v>123750</v>
      </c>
      <c r="AB165" s="41">
        <v>0</v>
      </c>
      <c r="AC165" s="41">
        <v>6600</v>
      </c>
      <c r="AD165" s="41">
        <v>0</v>
      </c>
      <c r="AE165" s="236">
        <f>SUM(Z165:AD165)</f>
        <v>2048559</v>
      </c>
      <c r="AF165" s="239">
        <f>J165-AE165</f>
        <v>531999</v>
      </c>
      <c r="AG165" s="237">
        <f>AF165</f>
        <v>531999</v>
      </c>
      <c r="AH165" s="237">
        <v>0</v>
      </c>
      <c r="AI165" s="237"/>
    </row>
    <row r="166" spans="1:35" ht="30" hidden="1" customHeight="1" x14ac:dyDescent="0.3">
      <c r="A166" s="3">
        <f>A165+1</f>
        <v>165</v>
      </c>
      <c r="B166" s="283" t="s">
        <v>555</v>
      </c>
      <c r="C166" s="46">
        <v>45874</v>
      </c>
      <c r="D166" s="46" t="s">
        <v>33</v>
      </c>
      <c r="E166" s="287" t="s">
        <v>571</v>
      </c>
      <c r="F166" s="260" t="s">
        <v>34</v>
      </c>
      <c r="G166" s="261">
        <v>36</v>
      </c>
      <c r="H166" s="8" t="s">
        <v>55</v>
      </c>
      <c r="I166" s="24" t="s">
        <v>572</v>
      </c>
      <c r="J166" s="45">
        <v>20012</v>
      </c>
      <c r="K166" s="43">
        <f>ROUND(IF(G166=36,J166*9%,0),0)</f>
        <v>1801</v>
      </c>
      <c r="L166" s="40">
        <f>ROUND(IF(G166=36,J166*9%,0),0)</f>
        <v>1801</v>
      </c>
      <c r="M166" s="40">
        <f>ROUND(IF(G166=36,J166*0%,J166*18%),0)</f>
        <v>0</v>
      </c>
      <c r="N166" s="406">
        <f>J166+K166+L166+M166</f>
        <v>23614</v>
      </c>
      <c r="O166" s="21">
        <f>N166-Q166</f>
        <v>50</v>
      </c>
      <c r="P166" s="9">
        <f>O166/J166</f>
        <v>2.4985008994603238E-3</v>
      </c>
      <c r="Q166" s="23">
        <v>23564</v>
      </c>
      <c r="R166" s="67">
        <v>45912</v>
      </c>
      <c r="S166" s="6" t="s">
        <v>74</v>
      </c>
      <c r="T166" s="10" t="s">
        <v>124</v>
      </c>
      <c r="U166" s="66">
        <f>N166-O166-Q166</f>
        <v>0</v>
      </c>
      <c r="V166" s="8"/>
      <c r="W166" s="7" t="str">
        <f>IF(U166=0,"No Due","Outstanding")</f>
        <v>No Due</v>
      </c>
      <c r="Z166" s="266">
        <v>0</v>
      </c>
      <c r="AA166" s="41">
        <v>0</v>
      </c>
      <c r="AB166" s="41">
        <v>0</v>
      </c>
      <c r="AC166" s="41">
        <v>0</v>
      </c>
      <c r="AD166" s="41">
        <v>0</v>
      </c>
      <c r="AE166" s="236">
        <f>SUM(Z166:AD166)</f>
        <v>0</v>
      </c>
      <c r="AF166" s="239">
        <f>J166-AE166</f>
        <v>20012</v>
      </c>
      <c r="AG166" s="237">
        <f>AF166</f>
        <v>20012</v>
      </c>
      <c r="AH166" s="237"/>
      <c r="AI166" s="237"/>
    </row>
    <row r="167" spans="1:35" ht="30" hidden="1" customHeight="1" x14ac:dyDescent="0.3">
      <c r="A167" s="3">
        <f>A166+1</f>
        <v>166</v>
      </c>
      <c r="B167" s="283" t="s">
        <v>555</v>
      </c>
      <c r="C167" s="46">
        <v>45889</v>
      </c>
      <c r="D167" s="167" t="s">
        <v>70</v>
      </c>
      <c r="E167" s="291" t="s">
        <v>583</v>
      </c>
      <c r="F167" s="260" t="s">
        <v>138</v>
      </c>
      <c r="G167" s="261">
        <v>36</v>
      </c>
      <c r="H167" s="8" t="s">
        <v>49</v>
      </c>
      <c r="I167" s="24" t="s">
        <v>584</v>
      </c>
      <c r="J167" s="45">
        <v>479759</v>
      </c>
      <c r="K167" s="169">
        <f>ROUND(IF(G167=36,J167*9%,0),0)</f>
        <v>43178</v>
      </c>
      <c r="L167" s="40">
        <f>ROUND(IF(G167=36,J167*9%,0),0)</f>
        <v>43178</v>
      </c>
      <c r="M167" s="40">
        <f>ROUND(IF(G167=36,J167*0%,J167*18%),0)</f>
        <v>0</v>
      </c>
      <c r="N167" s="407">
        <f>J167+K167+L167+M167</f>
        <v>566115</v>
      </c>
      <c r="O167" s="21">
        <f>N167-Q167</f>
        <v>1198.3800000000047</v>
      </c>
      <c r="P167" s="9">
        <f>O167/J167</f>
        <v>2.4978791434866355E-3</v>
      </c>
      <c r="Q167" s="23">
        <v>564916.62</v>
      </c>
      <c r="R167" s="67">
        <v>45897</v>
      </c>
      <c r="S167" s="6" t="s">
        <v>74</v>
      </c>
      <c r="T167" s="10" t="s">
        <v>96</v>
      </c>
      <c r="U167" s="66">
        <f>N167-O167-Q167</f>
        <v>0</v>
      </c>
      <c r="V167" s="8"/>
      <c r="W167" s="7" t="str">
        <f>IF(U167=0,"No Due","Outstanding")</f>
        <v>No Due</v>
      </c>
      <c r="Z167" s="266">
        <v>455009</v>
      </c>
      <c r="AA167" s="41">
        <v>0</v>
      </c>
      <c r="AB167" s="41">
        <v>0</v>
      </c>
      <c r="AC167" s="41">
        <v>0</v>
      </c>
      <c r="AD167" s="41">
        <v>0</v>
      </c>
      <c r="AE167" s="236">
        <f>SUM(Z167:AD167)</f>
        <v>455009</v>
      </c>
      <c r="AF167" s="239">
        <f>J167-AE167</f>
        <v>24750</v>
      </c>
      <c r="AG167" s="237">
        <f>AF167</f>
        <v>24750</v>
      </c>
      <c r="AH167" s="237">
        <v>0</v>
      </c>
      <c r="AI167" s="237"/>
    </row>
    <row r="168" spans="1:35" ht="30" hidden="1" customHeight="1" x14ac:dyDescent="0.3">
      <c r="A168" s="3">
        <f>A167+1</f>
        <v>167</v>
      </c>
      <c r="B168" s="283" t="s">
        <v>555</v>
      </c>
      <c r="C168" s="46">
        <v>45887</v>
      </c>
      <c r="D168" s="130" t="s">
        <v>129</v>
      </c>
      <c r="E168" s="294" t="s">
        <v>587</v>
      </c>
      <c r="F168" s="130" t="s">
        <v>146</v>
      </c>
      <c r="G168" s="131">
        <v>36</v>
      </c>
      <c r="H168" s="8" t="s">
        <v>52</v>
      </c>
      <c r="I168" s="24" t="s">
        <v>589</v>
      </c>
      <c r="J168" s="45">
        <f>89*200</f>
        <v>17800</v>
      </c>
      <c r="K168" s="132">
        <f>ROUND(IF(G168=36,J168*9%,0),0)</f>
        <v>1602</v>
      </c>
      <c r="L168" s="40">
        <f>ROUND(IF(G168=36,J168*9%,0),0)</f>
        <v>1602</v>
      </c>
      <c r="M168" s="40">
        <f>ROUND(IF(G168=36,J168*0%,J168*18%),0)</f>
        <v>0</v>
      </c>
      <c r="N168" s="406">
        <f>J168+K168+L168+M168</f>
        <v>21004</v>
      </c>
      <c r="O168" s="21">
        <f>N168-Q168</f>
        <v>1780</v>
      </c>
      <c r="P168" s="9">
        <f>O168/J168</f>
        <v>0.1</v>
      </c>
      <c r="Q168" s="23">
        <v>19224</v>
      </c>
      <c r="R168" s="67">
        <v>45918</v>
      </c>
      <c r="S168" s="6" t="s">
        <v>74</v>
      </c>
      <c r="T168" s="10" t="s">
        <v>147</v>
      </c>
      <c r="U168" s="66">
        <f>N168-O168-Q168</f>
        <v>0</v>
      </c>
      <c r="V168" s="8"/>
      <c r="W168" s="7" t="str">
        <f>IF(U168=0,"No Due","Outstanding")</f>
        <v>No Due</v>
      </c>
      <c r="Z168" s="266">
        <v>0</v>
      </c>
      <c r="AA168" s="41">
        <v>0</v>
      </c>
      <c r="AB168" s="41">
        <v>0</v>
      </c>
      <c r="AC168" s="41">
        <v>0</v>
      </c>
      <c r="AD168" s="41">
        <v>0</v>
      </c>
      <c r="AE168" s="236">
        <f>SUM(Z168:AD168)</f>
        <v>0</v>
      </c>
      <c r="AF168" s="239">
        <f>J168-AE168</f>
        <v>17800</v>
      </c>
      <c r="AG168" s="237">
        <f>AF168</f>
        <v>17800</v>
      </c>
      <c r="AH168" s="237">
        <v>0</v>
      </c>
      <c r="AI168" s="237"/>
    </row>
    <row r="169" spans="1:35" ht="30" hidden="1" customHeight="1" x14ac:dyDescent="0.3">
      <c r="A169" s="3">
        <f>A168+1</f>
        <v>168</v>
      </c>
      <c r="B169" s="283" t="s">
        <v>555</v>
      </c>
      <c r="C169" s="46">
        <v>45887</v>
      </c>
      <c r="D169" s="130" t="s">
        <v>129</v>
      </c>
      <c r="E169" s="294" t="s">
        <v>588</v>
      </c>
      <c r="F169" s="130" t="s">
        <v>131</v>
      </c>
      <c r="G169" s="131">
        <v>36</v>
      </c>
      <c r="H169" s="8" t="s">
        <v>51</v>
      </c>
      <c r="I169" s="24" t="s">
        <v>589</v>
      </c>
      <c r="J169" s="45">
        <f>4*200</f>
        <v>800</v>
      </c>
      <c r="K169" s="132">
        <f>ROUND(IF(G169=36,J169*9%,0),0)</f>
        <v>72</v>
      </c>
      <c r="L169" s="40">
        <f>ROUND(IF(G169=36,J169*9%,0),0)</f>
        <v>72</v>
      </c>
      <c r="M169" s="40">
        <f>ROUND(IF(G169=36,J169*0%,J169*18%),0)</f>
        <v>0</v>
      </c>
      <c r="N169" s="406">
        <f>J169+K169+L169+M169</f>
        <v>944</v>
      </c>
      <c r="O169" s="21">
        <f>N169-Q169</f>
        <v>80</v>
      </c>
      <c r="P169" s="9">
        <f>O169/J169</f>
        <v>0.1</v>
      </c>
      <c r="Q169" s="23">
        <v>864</v>
      </c>
      <c r="R169" s="67">
        <v>45918</v>
      </c>
      <c r="S169" s="6" t="s">
        <v>74</v>
      </c>
      <c r="T169" s="10" t="s">
        <v>147</v>
      </c>
      <c r="U169" s="66">
        <f>N169-O169-Q169</f>
        <v>0</v>
      </c>
      <c r="V169" s="8"/>
      <c r="W169" s="7" t="str">
        <f>IF(U169=0,"No Due","Outstanding")</f>
        <v>No Due</v>
      </c>
      <c r="Z169" s="266">
        <v>0</v>
      </c>
      <c r="AA169" s="41">
        <v>0</v>
      </c>
      <c r="AB169" s="41">
        <v>0</v>
      </c>
      <c r="AC169" s="41">
        <v>0</v>
      </c>
      <c r="AD169" s="41">
        <v>0</v>
      </c>
      <c r="AE169" s="236">
        <f>SUM(Z169:AD169)</f>
        <v>0</v>
      </c>
      <c r="AF169" s="239">
        <f>J169-AE169</f>
        <v>800</v>
      </c>
      <c r="AG169" s="237">
        <f>AF169</f>
        <v>800</v>
      </c>
      <c r="AH169" s="237">
        <v>0</v>
      </c>
      <c r="AI169" s="237"/>
    </row>
    <row r="170" spans="1:35" ht="30" hidden="1" customHeight="1" x14ac:dyDescent="0.3">
      <c r="A170" s="3">
        <f>A169+1</f>
        <v>169</v>
      </c>
      <c r="B170" s="283" t="s">
        <v>555</v>
      </c>
      <c r="C170" s="46">
        <v>45895</v>
      </c>
      <c r="D170" s="75" t="s">
        <v>70</v>
      </c>
      <c r="E170" s="295" t="s">
        <v>590</v>
      </c>
      <c r="F170" s="260" t="s">
        <v>126</v>
      </c>
      <c r="G170" s="261">
        <v>24</v>
      </c>
      <c r="H170" s="8" t="s">
        <v>125</v>
      </c>
      <c r="I170" s="24" t="s">
        <v>591</v>
      </c>
      <c r="J170" s="45">
        <f>10968177-28200</f>
        <v>10939977</v>
      </c>
      <c r="K170" s="43">
        <f>ROUND(IF(G170=36,J170*9%,0),0)</f>
        <v>0</v>
      </c>
      <c r="L170" s="40">
        <f>ROUND(IF(G170=36,J170*9%,0),0)</f>
        <v>0</v>
      </c>
      <c r="M170" s="40">
        <f>ROUND(IF(G170=36,J170*0%,J170*18%),0)</f>
        <v>1969196</v>
      </c>
      <c r="N170" s="406">
        <f>J170+K170+L170+M170</f>
        <v>12909173</v>
      </c>
      <c r="O170" s="21">
        <f>N170-Q170</f>
        <v>27350.140000000596</v>
      </c>
      <c r="P170" s="9">
        <f>O170/J170</f>
        <v>2.500018053054462E-3</v>
      </c>
      <c r="Q170" s="23">
        <v>12881822.859999999</v>
      </c>
      <c r="R170" s="67">
        <v>45899</v>
      </c>
      <c r="S170" s="6" t="s">
        <v>74</v>
      </c>
      <c r="T170" s="10" t="s">
        <v>569</v>
      </c>
      <c r="U170" s="66">
        <f>N170-O170-Q170</f>
        <v>0</v>
      </c>
      <c r="V170" s="8"/>
      <c r="W170" s="7" t="str">
        <f>IF(U170=0,"No Due","Outstanding")</f>
        <v>No Due</v>
      </c>
      <c r="Z170" s="266">
        <v>9180336</v>
      </c>
      <c r="AA170" s="41">
        <v>1320891</v>
      </c>
      <c r="AB170" s="41">
        <v>0</v>
      </c>
      <c r="AC170" s="41">
        <v>75400</v>
      </c>
      <c r="AD170" s="41">
        <v>0</v>
      </c>
      <c r="AE170" s="236">
        <f>SUM(Z170:AD170)</f>
        <v>10576627</v>
      </c>
      <c r="AF170" s="239">
        <f>J170-AE170</f>
        <v>363350</v>
      </c>
      <c r="AG170" s="237">
        <f>AF170-48000</f>
        <v>315350</v>
      </c>
      <c r="AH170" s="237">
        <v>48000</v>
      </c>
      <c r="AI170" s="237"/>
    </row>
    <row r="171" spans="1:35" ht="30" hidden="1" customHeight="1" x14ac:dyDescent="0.3">
      <c r="A171" s="3">
        <f>A170+1</f>
        <v>170</v>
      </c>
      <c r="B171" s="283" t="s">
        <v>555</v>
      </c>
      <c r="C171" s="46">
        <v>45895</v>
      </c>
      <c r="D171" s="75" t="s">
        <v>70</v>
      </c>
      <c r="E171" s="296" t="s">
        <v>592</v>
      </c>
      <c r="F171" s="260" t="s">
        <v>126</v>
      </c>
      <c r="G171" s="261">
        <v>24</v>
      </c>
      <c r="H171" s="8" t="s">
        <v>125</v>
      </c>
      <c r="I171" s="24" t="s">
        <v>593</v>
      </c>
      <c r="J171" s="45">
        <v>28200</v>
      </c>
      <c r="K171" s="132">
        <f>ROUND(IF(G171=36,J171*9%,0),0)</f>
        <v>0</v>
      </c>
      <c r="L171" s="40">
        <f>ROUND(IF(G171=36,J171*9%,0),0)</f>
        <v>0</v>
      </c>
      <c r="M171" s="40">
        <f>ROUND(IF(G171=36,J171*0%,J171*18%),0)</f>
        <v>5076</v>
      </c>
      <c r="N171" s="406">
        <f>J171+K171+L171+M171</f>
        <v>33276</v>
      </c>
      <c r="O171" s="21">
        <f>N171-Q171</f>
        <v>71</v>
      </c>
      <c r="P171" s="9">
        <f>O171/J171</f>
        <v>2.5177304964539007E-3</v>
      </c>
      <c r="Q171" s="23">
        <v>33205</v>
      </c>
      <c r="R171" s="67">
        <v>45918</v>
      </c>
      <c r="S171" s="6" t="s">
        <v>74</v>
      </c>
      <c r="T171" s="10" t="s">
        <v>569</v>
      </c>
      <c r="U171" s="66">
        <f>N171-O171-Q171</f>
        <v>0</v>
      </c>
      <c r="V171" s="8"/>
      <c r="W171" s="7" t="str">
        <f>IF(U171=0,"No Due","Outstanding")</f>
        <v>No Due</v>
      </c>
      <c r="Z171" s="266">
        <v>28200</v>
      </c>
      <c r="AA171" s="41">
        <v>0</v>
      </c>
      <c r="AB171" s="41">
        <v>0</v>
      </c>
      <c r="AC171" s="41">
        <v>0</v>
      </c>
      <c r="AD171" s="41">
        <v>0</v>
      </c>
      <c r="AE171" s="236">
        <f>SUM(Z171:AD171)</f>
        <v>28200</v>
      </c>
      <c r="AF171" s="239">
        <f>J171-AE171</f>
        <v>0</v>
      </c>
      <c r="AG171" s="237">
        <f>AF171</f>
        <v>0</v>
      </c>
      <c r="AH171" s="237">
        <v>0</v>
      </c>
      <c r="AI171" s="237"/>
    </row>
    <row r="172" spans="1:35" ht="30" customHeight="1" x14ac:dyDescent="0.3">
      <c r="A172" s="3">
        <f>A171+1</f>
        <v>171</v>
      </c>
      <c r="B172" s="283" t="s">
        <v>555</v>
      </c>
      <c r="C172" s="46">
        <v>45898</v>
      </c>
      <c r="D172" s="146" t="s">
        <v>288</v>
      </c>
      <c r="E172" s="294" t="s">
        <v>594</v>
      </c>
      <c r="F172" s="146" t="s">
        <v>289</v>
      </c>
      <c r="G172" s="147">
        <v>36</v>
      </c>
      <c r="H172" s="8" t="s">
        <v>287</v>
      </c>
      <c r="I172" s="24" t="s">
        <v>598</v>
      </c>
      <c r="J172" s="162">
        <v>502905.26815000002</v>
      </c>
      <c r="K172" s="148">
        <f>ROUND(IF(G172=36,J172*9%,0),0)</f>
        <v>45261</v>
      </c>
      <c r="L172" s="40">
        <f>ROUND(IF(G172=36,J172*9%,0),0)</f>
        <v>45261</v>
      </c>
      <c r="M172" s="40">
        <f>ROUND(IF(G172=36,J172*0%,J172*18%),0)</f>
        <v>0</v>
      </c>
      <c r="N172" s="406">
        <f>J172+K172+L172+M172</f>
        <v>593427.26815000002</v>
      </c>
      <c r="O172" s="21">
        <f>N172-Q172</f>
        <v>1257.263170375023</v>
      </c>
      <c r="P172" s="9">
        <f>O172/J172</f>
        <v>2.5000000000000456E-3</v>
      </c>
      <c r="Q172" s="23">
        <f>(N172)-(J172*0.25%)</f>
        <v>592170.004979625</v>
      </c>
      <c r="R172" s="67">
        <v>45905</v>
      </c>
      <c r="S172" s="6" t="s">
        <v>74</v>
      </c>
      <c r="T172" s="10" t="s">
        <v>322</v>
      </c>
      <c r="U172" s="66">
        <f>N172-O172-Q172</f>
        <v>0</v>
      </c>
      <c r="V172" s="8"/>
      <c r="W172" s="7" t="str">
        <f>IF(U172=0,"No Due","Outstanding")</f>
        <v>No Due</v>
      </c>
      <c r="Z172" s="266">
        <v>342511</v>
      </c>
      <c r="AA172" s="41">
        <v>92681</v>
      </c>
      <c r="AB172" s="41">
        <v>15585</v>
      </c>
      <c r="AC172" s="41">
        <v>4000</v>
      </c>
      <c r="AD172" s="41">
        <v>0</v>
      </c>
      <c r="AE172" s="236">
        <f>SUM(Z172:AD172)</f>
        <v>454777</v>
      </c>
      <c r="AF172" s="239">
        <f>J172-AE172</f>
        <v>48128.268150000018</v>
      </c>
      <c r="AG172" s="237">
        <f>AF172</f>
        <v>48128.268150000018</v>
      </c>
      <c r="AH172" s="237">
        <v>0</v>
      </c>
      <c r="AI172" s="237"/>
    </row>
    <row r="173" spans="1:35" ht="30" customHeight="1" x14ac:dyDescent="0.3">
      <c r="A173" s="3">
        <f>A172+1</f>
        <v>172</v>
      </c>
      <c r="B173" s="283" t="s">
        <v>555</v>
      </c>
      <c r="C173" s="46">
        <v>45898</v>
      </c>
      <c r="D173" s="146" t="s">
        <v>288</v>
      </c>
      <c r="E173" s="295" t="s">
        <v>595</v>
      </c>
      <c r="F173" s="146" t="s">
        <v>289</v>
      </c>
      <c r="G173" s="147">
        <v>36</v>
      </c>
      <c r="H173" s="8" t="s">
        <v>287</v>
      </c>
      <c r="I173" s="24" t="s">
        <v>599</v>
      </c>
      <c r="J173" s="162">
        <v>142947</v>
      </c>
      <c r="K173" s="148">
        <f>ROUND(IF(G173=36,J173*9%,0),0)</f>
        <v>12865</v>
      </c>
      <c r="L173" s="40">
        <f>ROUND(IF(G173=36,J173*9%,0),0)</f>
        <v>12865</v>
      </c>
      <c r="M173" s="40">
        <f>ROUND(IF(G173=36,J173*0%,J173*18%),0)</f>
        <v>0</v>
      </c>
      <c r="N173" s="406">
        <f>J173+K173+L173+M173</f>
        <v>168677</v>
      </c>
      <c r="O173" s="21">
        <f>N173-Q173</f>
        <v>357.36749999999302</v>
      </c>
      <c r="P173" s="9">
        <f>O173/J173</f>
        <v>2.499999999999951E-3</v>
      </c>
      <c r="Q173" s="23">
        <f>(N173)-(J173*0.25%)</f>
        <v>168319.63250000001</v>
      </c>
      <c r="R173" s="67">
        <v>45905</v>
      </c>
      <c r="S173" s="6" t="s">
        <v>74</v>
      </c>
      <c r="T173" s="10" t="s">
        <v>322</v>
      </c>
      <c r="U173" s="66">
        <f>N173-O173-Q173</f>
        <v>0</v>
      </c>
      <c r="V173" s="8"/>
      <c r="W173" s="7" t="str">
        <f>IF(U173=0,"No Due","Outstanding")</f>
        <v>No Due</v>
      </c>
      <c r="Z173" s="266">
        <v>127425</v>
      </c>
      <c r="AA173" s="41">
        <v>0</v>
      </c>
      <c r="AB173" s="41">
        <v>0</v>
      </c>
      <c r="AC173" s="41">
        <v>0</v>
      </c>
      <c r="AD173" s="41">
        <v>0</v>
      </c>
      <c r="AE173" s="236">
        <f>SUM(Z173:AD173)</f>
        <v>127425</v>
      </c>
      <c r="AF173" s="239">
        <f>J173-AE173</f>
        <v>15522</v>
      </c>
      <c r="AG173" s="237">
        <f>AF173</f>
        <v>15522</v>
      </c>
      <c r="AH173" s="237">
        <v>0</v>
      </c>
      <c r="AI173" s="237"/>
    </row>
    <row r="174" spans="1:35" ht="30" customHeight="1" x14ac:dyDescent="0.3">
      <c r="A174" s="3">
        <f>A173+1</f>
        <v>173</v>
      </c>
      <c r="B174" s="283" t="s">
        <v>555</v>
      </c>
      <c r="C174" s="46">
        <v>45898</v>
      </c>
      <c r="D174" s="146" t="s">
        <v>288</v>
      </c>
      <c r="E174" s="296" t="s">
        <v>596</v>
      </c>
      <c r="F174" s="146" t="s">
        <v>289</v>
      </c>
      <c r="G174" s="147">
        <v>36</v>
      </c>
      <c r="H174" s="8" t="s">
        <v>287</v>
      </c>
      <c r="I174" s="24" t="s">
        <v>598</v>
      </c>
      <c r="J174" s="162">
        <v>19438.315725</v>
      </c>
      <c r="K174" s="148">
        <f>ROUND(IF(G174=36,J174*9%,0),0)</f>
        <v>1749</v>
      </c>
      <c r="L174" s="40">
        <f>ROUND(IF(G174=36,J174*9%,0),0)</f>
        <v>1749</v>
      </c>
      <c r="M174" s="40">
        <f>ROUND(IF(G174=36,J174*0%,J174*18%),0)</f>
        <v>0</v>
      </c>
      <c r="N174" s="406">
        <f>J174+K174+L174+M174</f>
        <v>22936.315725</v>
      </c>
      <c r="O174" s="21">
        <f>N174-Q174</f>
        <v>48.595789312501438</v>
      </c>
      <c r="P174" s="9">
        <f>O174/J174</f>
        <v>2.5000000000000738E-3</v>
      </c>
      <c r="Q174" s="23">
        <f>(N174)-(J174*0.25%)</f>
        <v>22887.719935687499</v>
      </c>
      <c r="R174" s="67">
        <v>45905</v>
      </c>
      <c r="S174" s="6" t="s">
        <v>74</v>
      </c>
      <c r="T174" s="10" t="s">
        <v>322</v>
      </c>
      <c r="U174" s="66">
        <f>N174-O174-Q174</f>
        <v>0</v>
      </c>
      <c r="V174" s="8"/>
      <c r="W174" s="7" t="str">
        <f>IF(U174=0,"No Due","Outstanding")</f>
        <v>No Due</v>
      </c>
      <c r="Z174" s="266">
        <v>13645</v>
      </c>
      <c r="AA174" s="41">
        <v>3912</v>
      </c>
      <c r="AB174" s="41">
        <v>649</v>
      </c>
      <c r="AC174" s="41">
        <v>0</v>
      </c>
      <c r="AD174" s="41">
        <v>0</v>
      </c>
      <c r="AE174" s="236">
        <f>SUM(Z174:AD174)</f>
        <v>18206</v>
      </c>
      <c r="AF174" s="239">
        <f>J174-AE174</f>
        <v>1232.3157250000004</v>
      </c>
      <c r="AG174" s="237">
        <f>AF174</f>
        <v>1232.3157250000004</v>
      </c>
      <c r="AH174" s="237">
        <v>0</v>
      </c>
      <c r="AI174" s="237"/>
    </row>
    <row r="175" spans="1:35" ht="30" hidden="1" customHeight="1" x14ac:dyDescent="0.3">
      <c r="A175" s="3">
        <f>A174+1</f>
        <v>174</v>
      </c>
      <c r="B175" s="298" t="s">
        <v>601</v>
      </c>
      <c r="C175" s="46">
        <v>45902</v>
      </c>
      <c r="D175" s="164" t="s">
        <v>70</v>
      </c>
      <c r="E175" s="299" t="s">
        <v>602</v>
      </c>
      <c r="F175" s="260" t="s">
        <v>134</v>
      </c>
      <c r="G175" s="261">
        <v>10</v>
      </c>
      <c r="H175" s="8" t="s">
        <v>39</v>
      </c>
      <c r="I175" s="24" t="s">
        <v>604</v>
      </c>
      <c r="J175" s="45">
        <v>39001</v>
      </c>
      <c r="K175" s="166">
        <f>ROUND(IF(G175=36,J175*9%,0),0)</f>
        <v>0</v>
      </c>
      <c r="L175" s="40">
        <f>ROUND(IF(G175=36,J175*9%,0),0)</f>
        <v>0</v>
      </c>
      <c r="M175" s="40">
        <f>ROUND(IF(G175=36,J175*0%,J175*18%),0)</f>
        <v>7020</v>
      </c>
      <c r="N175" s="406">
        <f>J175+K175+L175+M175</f>
        <v>46021</v>
      </c>
      <c r="O175" s="21">
        <f>N175-Q175</f>
        <v>781</v>
      </c>
      <c r="P175" s="9">
        <f>O175/J175</f>
        <v>2.0025127560831774E-2</v>
      </c>
      <c r="Q175" s="23">
        <v>45240</v>
      </c>
      <c r="R175" s="67">
        <v>45916</v>
      </c>
      <c r="S175" s="6" t="s">
        <v>74</v>
      </c>
      <c r="T175" s="10" t="s">
        <v>136</v>
      </c>
      <c r="U175" s="66">
        <f>N175-O175-Q175</f>
        <v>0</v>
      </c>
      <c r="V175" s="8"/>
      <c r="W175" s="7" t="str">
        <f>IF(U175=0,"No Due","Outstanding")</f>
        <v>No Due</v>
      </c>
      <c r="Z175" s="266">
        <v>34201</v>
      </c>
      <c r="AA175" s="41">
        <v>3750</v>
      </c>
      <c r="AB175" s="41">
        <v>0</v>
      </c>
      <c r="AC175" s="41">
        <v>200</v>
      </c>
      <c r="AD175" s="41">
        <v>0</v>
      </c>
      <c r="AE175" s="236">
        <f>SUM(Z175:AD175)</f>
        <v>38151</v>
      </c>
      <c r="AF175" s="239">
        <f>J175-AE175</f>
        <v>850</v>
      </c>
      <c r="AG175" s="237">
        <f>AF175</f>
        <v>850</v>
      </c>
      <c r="AH175" s="237">
        <v>0</v>
      </c>
      <c r="AI175" s="237"/>
    </row>
    <row r="176" spans="1:35" ht="30" hidden="1" customHeight="1" x14ac:dyDescent="0.3">
      <c r="A176" s="3">
        <f>A175+1</f>
        <v>175</v>
      </c>
      <c r="B176" s="298" t="s">
        <v>601</v>
      </c>
      <c r="C176" s="46">
        <v>45902</v>
      </c>
      <c r="D176" s="164" t="s">
        <v>70</v>
      </c>
      <c r="E176" s="299" t="s">
        <v>603</v>
      </c>
      <c r="F176" s="260" t="s">
        <v>134</v>
      </c>
      <c r="G176" s="261">
        <v>10</v>
      </c>
      <c r="H176" s="8" t="s">
        <v>39</v>
      </c>
      <c r="I176" s="24" t="s">
        <v>604</v>
      </c>
      <c r="J176" s="45">
        <v>60709</v>
      </c>
      <c r="K176" s="166">
        <f>ROUND(IF(G176=36,J176*9%,0),0)</f>
        <v>0</v>
      </c>
      <c r="L176" s="40">
        <f>ROUND(IF(G176=36,J176*9%,0),0)</f>
        <v>0</v>
      </c>
      <c r="M176" s="40">
        <f>ROUND(IF(G176=36,J176*0%,J176*18%),0)</f>
        <v>10928</v>
      </c>
      <c r="N176" s="406">
        <f>J176+K176+L176+M176</f>
        <v>71637</v>
      </c>
      <c r="O176" s="21">
        <f>N176-Q176</f>
        <v>1214.3800000000047</v>
      </c>
      <c r="P176" s="9">
        <f>O176/J176</f>
        <v>2.000329440445411E-2</v>
      </c>
      <c r="Q176" s="23">
        <v>70422.62</v>
      </c>
      <c r="R176" s="67">
        <v>45912</v>
      </c>
      <c r="S176" s="6" t="s">
        <v>74</v>
      </c>
      <c r="T176" s="10" t="s">
        <v>136</v>
      </c>
      <c r="U176" s="66">
        <f>N176-O176-Q176</f>
        <v>0</v>
      </c>
      <c r="V176" s="8"/>
      <c r="W176" s="7" t="str">
        <f>IF(U176=0,"No Due","Outstanding")</f>
        <v>No Due</v>
      </c>
      <c r="Z176" s="266">
        <v>55909</v>
      </c>
      <c r="AA176" s="41">
        <v>3750</v>
      </c>
      <c r="AB176" s="41">
        <v>0</v>
      </c>
      <c r="AC176" s="41">
        <v>200</v>
      </c>
      <c r="AD176" s="41">
        <v>0</v>
      </c>
      <c r="AE176" s="236">
        <f>SUM(Z176:AD176)</f>
        <v>59859</v>
      </c>
      <c r="AF176" s="239">
        <f>J176-AE176</f>
        <v>850</v>
      </c>
      <c r="AG176" s="237">
        <f>AF176</f>
        <v>850</v>
      </c>
      <c r="AH176" s="237">
        <v>0</v>
      </c>
      <c r="AI176" s="237"/>
    </row>
    <row r="177" spans="1:35" ht="30" hidden="1" customHeight="1" x14ac:dyDescent="0.3">
      <c r="A177" s="3">
        <f>A176+1</f>
        <v>176</v>
      </c>
      <c r="B177" s="298" t="s">
        <v>601</v>
      </c>
      <c r="C177" s="46">
        <v>45902</v>
      </c>
      <c r="D177" s="123" t="s">
        <v>70</v>
      </c>
      <c r="E177" s="313" t="s">
        <v>605</v>
      </c>
      <c r="F177" s="260" t="s">
        <v>142</v>
      </c>
      <c r="G177" s="261">
        <v>24</v>
      </c>
      <c r="H177" s="8" t="s">
        <v>46</v>
      </c>
      <c r="I177" s="24" t="s">
        <v>606</v>
      </c>
      <c r="J177" s="45">
        <v>176174</v>
      </c>
      <c r="K177" s="125">
        <f>ROUND(IF(G177=36,J177*9%,0),0)</f>
        <v>0</v>
      </c>
      <c r="L177" s="40">
        <f>ROUND(IF(G177=36,J177*9%,0),0)</f>
        <v>0</v>
      </c>
      <c r="M177" s="40">
        <f>ROUND(IF(G177=36,J177*0%,J177*18%),0)</f>
        <v>31711</v>
      </c>
      <c r="N177" s="406">
        <f>J177+K177+L177+M177</f>
        <v>207885</v>
      </c>
      <c r="O177" s="21">
        <f>N177-Q177</f>
        <v>3522.679999999993</v>
      </c>
      <c r="P177" s="9">
        <f>O177/J177</f>
        <v>1.9995459034817812E-2</v>
      </c>
      <c r="Q177" s="23">
        <v>204362.32</v>
      </c>
      <c r="R177" s="67">
        <v>45939</v>
      </c>
      <c r="S177" s="6" t="s">
        <v>74</v>
      </c>
      <c r="T177" s="10" t="s">
        <v>96</v>
      </c>
      <c r="U177" s="66">
        <f>N177-O177-Q177</f>
        <v>0</v>
      </c>
      <c r="V177" s="8"/>
      <c r="W177" s="7" t="str">
        <f>IF(U177=0,"No Due","Outstanding")</f>
        <v>No Due</v>
      </c>
      <c r="Z177" s="266">
        <v>161774</v>
      </c>
      <c r="AA177" s="41">
        <v>11250</v>
      </c>
      <c r="AB177" s="41">
        <v>0</v>
      </c>
      <c r="AC177" s="41">
        <v>600</v>
      </c>
      <c r="AD177" s="41">
        <v>0</v>
      </c>
      <c r="AE177" s="236">
        <f>SUM(Z177:AD177)</f>
        <v>173624</v>
      </c>
      <c r="AF177" s="239">
        <f>J177-AE177</f>
        <v>2550</v>
      </c>
      <c r="AG177" s="237">
        <f>AF177</f>
        <v>2550</v>
      </c>
      <c r="AH177" s="237"/>
      <c r="AI177" s="237"/>
    </row>
    <row r="178" spans="1:35" ht="30" hidden="1" customHeight="1" x14ac:dyDescent="0.3">
      <c r="A178" s="3">
        <f>A177+1</f>
        <v>177</v>
      </c>
      <c r="B178" s="298" t="s">
        <v>601</v>
      </c>
      <c r="C178" s="46">
        <v>45902</v>
      </c>
      <c r="D178" s="46" t="s">
        <v>33</v>
      </c>
      <c r="E178" s="302" t="s">
        <v>611</v>
      </c>
      <c r="F178" s="260" t="s">
        <v>34</v>
      </c>
      <c r="G178" s="261">
        <v>36</v>
      </c>
      <c r="H178" s="8" t="s">
        <v>55</v>
      </c>
      <c r="I178" s="24" t="s">
        <v>612</v>
      </c>
      <c r="J178" s="162">
        <v>99751</v>
      </c>
      <c r="K178" s="148">
        <f>ROUND(IF(G178=36,J178*9%,0),0)</f>
        <v>8978</v>
      </c>
      <c r="L178" s="40">
        <f>ROUND(IF(G178=36,J178*9%,0),0)</f>
        <v>8978</v>
      </c>
      <c r="M178" s="40">
        <f>ROUND(IF(G178=36,J178*0%,J178*18%),0)</f>
        <v>0</v>
      </c>
      <c r="N178" s="406">
        <f>J178+K178+L178+M178</f>
        <v>117707</v>
      </c>
      <c r="O178" s="21">
        <f>N178-Q178</f>
        <v>249.37750000000233</v>
      </c>
      <c r="P178" s="9">
        <f>O178/J178</f>
        <v>2.5000000000000235E-3</v>
      </c>
      <c r="Q178" s="23">
        <f>N178-(J178*0.25%)</f>
        <v>117457.6225</v>
      </c>
      <c r="R178" s="67">
        <v>45933</v>
      </c>
      <c r="S178" s="6" t="s">
        <v>74</v>
      </c>
      <c r="T178" s="10" t="s">
        <v>124</v>
      </c>
      <c r="U178" s="66">
        <f>N178-O178-Q178</f>
        <v>0</v>
      </c>
      <c r="V178" s="8"/>
      <c r="W178" s="7" t="str">
        <f>IF(U178=0,"No Due","Outstanding")</f>
        <v>No Due</v>
      </c>
      <c r="Z178" s="266">
        <v>30266</v>
      </c>
      <c r="AA178" s="41">
        <v>3750</v>
      </c>
      <c r="AB178" s="41">
        <v>0</v>
      </c>
      <c r="AC178" s="41">
        <v>200</v>
      </c>
      <c r="AD178" s="41">
        <v>0</v>
      </c>
      <c r="AE178" s="236">
        <f>SUM(Z178:AD178)</f>
        <v>34216</v>
      </c>
      <c r="AF178" s="239">
        <f>J178-AE178</f>
        <v>65535</v>
      </c>
      <c r="AG178" s="237">
        <f>AF178</f>
        <v>65535</v>
      </c>
      <c r="AH178" s="237">
        <v>0</v>
      </c>
      <c r="AI178" s="237"/>
    </row>
    <row r="179" spans="1:35" ht="30" hidden="1" customHeight="1" x14ac:dyDescent="0.3">
      <c r="A179" s="3">
        <f>A178+1</f>
        <v>178</v>
      </c>
      <c r="B179" s="298" t="s">
        <v>601</v>
      </c>
      <c r="C179" s="46">
        <v>45902</v>
      </c>
      <c r="D179" s="46" t="s">
        <v>33</v>
      </c>
      <c r="E179" s="299" t="s">
        <v>607</v>
      </c>
      <c r="F179" s="260" t="s">
        <v>34</v>
      </c>
      <c r="G179" s="261">
        <v>36</v>
      </c>
      <c r="H179" s="8" t="s">
        <v>55</v>
      </c>
      <c r="I179" s="24" t="s">
        <v>610</v>
      </c>
      <c r="J179" s="45">
        <f>(72050*24)+(53350*1)+(99751*9)</f>
        <v>2680309</v>
      </c>
      <c r="K179" s="43">
        <f>ROUND(IF(G179=36,J179*9%,0),0)</f>
        <v>241228</v>
      </c>
      <c r="L179" s="40">
        <f>ROUND(IF(G179=36,J179*9%,0),0)</f>
        <v>241228</v>
      </c>
      <c r="M179" s="40">
        <f>ROUND(IF(G179=36,J179*0%,J179*18%),0)</f>
        <v>0</v>
      </c>
      <c r="N179" s="406">
        <f>J179+K179+L179+M179</f>
        <v>3162765</v>
      </c>
      <c r="O179" s="21">
        <f>N179-Q179</f>
        <v>6700.7724999999627</v>
      </c>
      <c r="P179" s="9">
        <f>O179/J179</f>
        <v>2.4999999999999862E-3</v>
      </c>
      <c r="Q179" s="23">
        <f>N179-(J179*0.25%)</f>
        <v>3156064.2275</v>
      </c>
      <c r="R179" s="67">
        <v>45933</v>
      </c>
      <c r="S179" s="6" t="s">
        <v>74</v>
      </c>
      <c r="T179" s="10" t="s">
        <v>124</v>
      </c>
      <c r="U179" s="66">
        <f>N179-O179-Q179</f>
        <v>0</v>
      </c>
      <c r="V179" s="8"/>
      <c r="W179" s="7" t="str">
        <f>IF(U179=0,"No Due","Outstanding")</f>
        <v>No Due</v>
      </c>
      <c r="Z179" s="266">
        <v>1940711</v>
      </c>
      <c r="AA179" s="41">
        <v>126514</v>
      </c>
      <c r="AB179" s="41"/>
      <c r="AC179" s="41">
        <v>6800</v>
      </c>
      <c r="AD179" s="41">
        <v>0</v>
      </c>
      <c r="AE179" s="236">
        <f>SUM(Z179:AD179)</f>
        <v>2074025</v>
      </c>
      <c r="AF179" s="239">
        <f>J179-AE179</f>
        <v>606284</v>
      </c>
      <c r="AG179" s="237">
        <f>AF179</f>
        <v>606284</v>
      </c>
      <c r="AH179" s="237">
        <v>0</v>
      </c>
      <c r="AI179" s="237"/>
    </row>
    <row r="180" spans="1:35" ht="30" hidden="1" customHeight="1" x14ac:dyDescent="0.3">
      <c r="A180" s="3">
        <f>A179+1</f>
        <v>179</v>
      </c>
      <c r="B180" s="298" t="s">
        <v>601</v>
      </c>
      <c r="C180" s="46">
        <v>45902</v>
      </c>
      <c r="D180" s="46" t="s">
        <v>33</v>
      </c>
      <c r="E180" s="299" t="s">
        <v>608</v>
      </c>
      <c r="F180" s="260" t="s">
        <v>34</v>
      </c>
      <c r="G180" s="261">
        <v>36</v>
      </c>
      <c r="H180" s="8" t="s">
        <v>55</v>
      </c>
      <c r="I180" s="24" t="s">
        <v>609</v>
      </c>
      <c r="J180" s="45">
        <v>18197</v>
      </c>
      <c r="K180" s="43">
        <f>ROUND(IF(G180=36,J180*9%,0),0)</f>
        <v>1638</v>
      </c>
      <c r="L180" s="40">
        <f>ROUND(IF(G180=36,J180*9%,0),0)</f>
        <v>1638</v>
      </c>
      <c r="M180" s="40">
        <f>ROUND(IF(G180=36,J180*0%,J180*18%),0)</f>
        <v>0</v>
      </c>
      <c r="N180" s="406">
        <f>J180+K180+L180+M180</f>
        <v>21473</v>
      </c>
      <c r="O180" s="21">
        <f>N180-Q180</f>
        <v>45.492500000000291</v>
      </c>
      <c r="P180" s="9">
        <f>O180/J180</f>
        <v>2.5000000000000161E-3</v>
      </c>
      <c r="Q180" s="23">
        <f>N180-(J180*0.25%)</f>
        <v>21427.5075</v>
      </c>
      <c r="R180" s="67">
        <v>45933</v>
      </c>
      <c r="S180" s="6" t="s">
        <v>74</v>
      </c>
      <c r="T180" s="10" t="s">
        <v>124</v>
      </c>
      <c r="U180" s="66">
        <f>N180-O180-Q180</f>
        <v>0</v>
      </c>
      <c r="V180" s="8"/>
      <c r="W180" s="7" t="str">
        <f>IF(U180=0,"No Due","Outstanding")</f>
        <v>No Due</v>
      </c>
      <c r="Z180" s="266">
        <v>0</v>
      </c>
      <c r="AA180" s="41">
        <v>0</v>
      </c>
      <c r="AB180" s="41">
        <v>0</v>
      </c>
      <c r="AC180" s="41">
        <v>0</v>
      </c>
      <c r="AD180" s="41">
        <v>0</v>
      </c>
      <c r="AE180" s="236">
        <f>SUM(Z180:AD180)</f>
        <v>0</v>
      </c>
      <c r="AF180" s="239">
        <f>J180-AE180</f>
        <v>18197</v>
      </c>
      <c r="AG180" s="237">
        <f>AF180</f>
        <v>18197</v>
      </c>
      <c r="AH180" s="237"/>
      <c r="AI180" s="237"/>
    </row>
    <row r="181" spans="1:35" ht="30" hidden="1" customHeight="1" x14ac:dyDescent="0.3">
      <c r="A181" s="3">
        <f>A180+1</f>
        <v>180</v>
      </c>
      <c r="B181" s="298" t="s">
        <v>601</v>
      </c>
      <c r="C181" s="46">
        <v>45905</v>
      </c>
      <c r="D181" s="167" t="s">
        <v>70</v>
      </c>
      <c r="E181" s="301" t="s">
        <v>613</v>
      </c>
      <c r="F181" s="260" t="s">
        <v>138</v>
      </c>
      <c r="G181" s="261">
        <v>36</v>
      </c>
      <c r="H181" s="8" t="s">
        <v>49</v>
      </c>
      <c r="I181" s="24" t="s">
        <v>614</v>
      </c>
      <c r="J181" s="45">
        <v>21037927</v>
      </c>
      <c r="K181" s="169">
        <f>ROUND(IF(G181=36,J181*9%,0),0)</f>
        <v>1893413</v>
      </c>
      <c r="L181" s="40">
        <f>ROUND(IF(G181=36,J181*9%,0),0)</f>
        <v>1893413</v>
      </c>
      <c r="M181" s="40">
        <f>ROUND(IF(G181=36,J181*0%,J181*18%),0)</f>
        <v>0</v>
      </c>
      <c r="N181" s="407">
        <f>J181+K181+L181+M181</f>
        <v>24824753</v>
      </c>
      <c r="O181" s="21">
        <f>N181-Q181</f>
        <v>52594.140000000596</v>
      </c>
      <c r="P181" s="9">
        <f>O181/J181</f>
        <v>2.4999677962567603E-3</v>
      </c>
      <c r="Q181" s="23">
        <v>24772158.859999999</v>
      </c>
      <c r="R181" s="67">
        <v>45926</v>
      </c>
      <c r="S181" s="6" t="s">
        <v>74</v>
      </c>
      <c r="T181" s="10" t="s">
        <v>96</v>
      </c>
      <c r="U181" s="66">
        <f>N181-O181-Q181</f>
        <v>0</v>
      </c>
      <c r="V181" s="8"/>
      <c r="W181" s="7" t="str">
        <f>IF(U181=0,"No Due","Outstanding")</f>
        <v>No Due</v>
      </c>
      <c r="Z181" s="266">
        <v>19051190</v>
      </c>
      <c r="AA181" s="41">
        <v>1648987</v>
      </c>
      <c r="AB181" s="41">
        <v>0</v>
      </c>
      <c r="AC181" s="41">
        <v>87300</v>
      </c>
      <c r="AD181" s="41">
        <v>3500</v>
      </c>
      <c r="AE181" s="236">
        <f>SUM(Z181:AD181)</f>
        <v>20790977</v>
      </c>
      <c r="AF181" s="239">
        <f>J181-AE181</f>
        <v>246950</v>
      </c>
      <c r="AG181" s="237">
        <f>AF181</f>
        <v>246950</v>
      </c>
      <c r="AH181" s="237">
        <v>0</v>
      </c>
      <c r="AI181" s="237"/>
    </row>
    <row r="182" spans="1:35" ht="30" hidden="1" customHeight="1" x14ac:dyDescent="0.3">
      <c r="A182" s="3">
        <f>A181+1</f>
        <v>181</v>
      </c>
      <c r="B182" s="298" t="s">
        <v>601</v>
      </c>
      <c r="C182" s="46">
        <v>45905</v>
      </c>
      <c r="D182" s="167" t="s">
        <v>70</v>
      </c>
      <c r="E182" s="294" t="s">
        <v>597</v>
      </c>
      <c r="F182" s="260" t="s">
        <v>138</v>
      </c>
      <c r="G182" s="261">
        <v>36</v>
      </c>
      <c r="H182" s="8" t="s">
        <v>49</v>
      </c>
      <c r="I182" s="24" t="s">
        <v>615</v>
      </c>
      <c r="J182" s="45">
        <v>582489</v>
      </c>
      <c r="K182" s="169">
        <f>ROUND(IF(G182=36,J182*9%,0),0)</f>
        <v>52424</v>
      </c>
      <c r="L182" s="40">
        <f>ROUND(IF(G182=36,J182*9%,0),0)</f>
        <v>52424</v>
      </c>
      <c r="M182" s="40">
        <f>ROUND(IF(G182=36,J182*0%,J182*18%),0)</f>
        <v>0</v>
      </c>
      <c r="N182" s="407">
        <f>J182+K182+L182+M182</f>
        <v>687337</v>
      </c>
      <c r="O182" s="21">
        <f>N182-Q182</f>
        <v>1455.9799999999814</v>
      </c>
      <c r="P182" s="9">
        <f>O182/J182</f>
        <v>2.4995836831253147E-3</v>
      </c>
      <c r="Q182" s="23">
        <v>685881.02</v>
      </c>
      <c r="R182" s="67">
        <v>45926</v>
      </c>
      <c r="S182" s="6" t="s">
        <v>74</v>
      </c>
      <c r="T182" s="10" t="s">
        <v>96</v>
      </c>
      <c r="U182" s="66">
        <f>N182-O182-Q182</f>
        <v>0</v>
      </c>
      <c r="V182" s="8"/>
      <c r="W182" s="7" t="str">
        <f>IF(U182=0,"No Due","Outstanding")</f>
        <v>No Due</v>
      </c>
      <c r="Z182" s="266">
        <v>557739</v>
      </c>
      <c r="AA182" s="41">
        <v>0</v>
      </c>
      <c r="AB182" s="41">
        <v>0</v>
      </c>
      <c r="AC182" s="41">
        <v>0</v>
      </c>
      <c r="AD182" s="41">
        <v>0</v>
      </c>
      <c r="AE182" s="236">
        <f>SUM(Z182:AD182)</f>
        <v>557739</v>
      </c>
      <c r="AF182" s="239">
        <f>J182-AE182</f>
        <v>24750</v>
      </c>
      <c r="AG182" s="237">
        <f>AF182</f>
        <v>24750</v>
      </c>
      <c r="AH182" s="237">
        <v>0</v>
      </c>
      <c r="AI182" s="237"/>
    </row>
    <row r="183" spans="1:35" ht="30" hidden="1" customHeight="1" x14ac:dyDescent="0.3">
      <c r="A183" s="3">
        <f>A182+1</f>
        <v>182</v>
      </c>
      <c r="B183" s="298" t="s">
        <v>601</v>
      </c>
      <c r="C183" s="46">
        <v>45905</v>
      </c>
      <c r="D183" s="167" t="s">
        <v>70</v>
      </c>
      <c r="E183" s="297" t="s">
        <v>600</v>
      </c>
      <c r="F183" s="260" t="s">
        <v>138</v>
      </c>
      <c r="G183" s="261">
        <v>36</v>
      </c>
      <c r="H183" s="8" t="s">
        <v>49</v>
      </c>
      <c r="I183" s="24" t="s">
        <v>617</v>
      </c>
      <c r="J183" s="45">
        <v>486576</v>
      </c>
      <c r="K183" s="169">
        <f>ROUND(IF(G183=36,J183*9%,0),0)</f>
        <v>43792</v>
      </c>
      <c r="L183" s="40">
        <f>ROUND(IF(G183=36,J183*9%,0),0)</f>
        <v>43792</v>
      </c>
      <c r="M183" s="40">
        <f>ROUND(IF(G183=36,J183*0%,J183*18%),0)</f>
        <v>0</v>
      </c>
      <c r="N183" s="407">
        <f>J183+K183+L183+M183</f>
        <v>574160</v>
      </c>
      <c r="O183" s="21">
        <f>N183-Q183</f>
        <v>1216.3199999999488</v>
      </c>
      <c r="P183" s="9">
        <f>O183/J183</f>
        <v>2.4997533787115452E-3</v>
      </c>
      <c r="Q183" s="23">
        <v>572943.68000000005</v>
      </c>
      <c r="R183" s="67">
        <v>45926</v>
      </c>
      <c r="S183" s="6" t="s">
        <v>74</v>
      </c>
      <c r="T183" s="10" t="s">
        <v>96</v>
      </c>
      <c r="U183" s="66">
        <f>N183-O183-Q183</f>
        <v>0</v>
      </c>
      <c r="V183" s="8"/>
      <c r="W183" s="7" t="str">
        <f>IF(U183=0,"No Due","Outstanding")</f>
        <v>No Due</v>
      </c>
      <c r="Z183" s="266">
        <v>481626</v>
      </c>
      <c r="AA183" s="41">
        <v>0</v>
      </c>
      <c r="AB183" s="41">
        <v>0</v>
      </c>
      <c r="AC183" s="41">
        <v>0</v>
      </c>
      <c r="AD183" s="41">
        <v>0</v>
      </c>
      <c r="AE183" s="236">
        <f>SUM(Z183:AD183)</f>
        <v>481626</v>
      </c>
      <c r="AF183" s="239">
        <f>J183-AE183</f>
        <v>4950</v>
      </c>
      <c r="AG183" s="237">
        <f>AF183</f>
        <v>4950</v>
      </c>
      <c r="AH183" s="237">
        <v>0</v>
      </c>
      <c r="AI183" s="237"/>
    </row>
    <row r="184" spans="1:35" ht="30" hidden="1" customHeight="1" x14ac:dyDescent="0.3">
      <c r="A184" s="3">
        <f>A183+1</f>
        <v>183</v>
      </c>
      <c r="B184" s="298" t="s">
        <v>601</v>
      </c>
      <c r="C184" s="46">
        <v>45905</v>
      </c>
      <c r="D184" s="167" t="s">
        <v>70</v>
      </c>
      <c r="E184" s="303" t="s">
        <v>616</v>
      </c>
      <c r="F184" s="260" t="s">
        <v>138</v>
      </c>
      <c r="G184" s="261">
        <v>36</v>
      </c>
      <c r="H184" s="8" t="s">
        <v>49</v>
      </c>
      <c r="I184" s="24" t="s">
        <v>618</v>
      </c>
      <c r="J184" s="45">
        <v>45563</v>
      </c>
      <c r="K184" s="169">
        <f>ROUND(IF(G184=36,J184*9%,0),0)</f>
        <v>4101</v>
      </c>
      <c r="L184" s="40">
        <f>ROUND(IF(G184=36,J184*9%,0),0)</f>
        <v>4101</v>
      </c>
      <c r="M184" s="40">
        <f>ROUND(IF(G184=36,J184*0%,J184*18%),0)</f>
        <v>0</v>
      </c>
      <c r="N184" s="407">
        <f>J184+K184+L184+M184</f>
        <v>53765</v>
      </c>
      <c r="O184" s="21">
        <f>N184-Q184</f>
        <v>114.66000000000349</v>
      </c>
      <c r="P184" s="9">
        <f>O184/J184</f>
        <v>2.5165155937932862E-3</v>
      </c>
      <c r="Q184" s="23">
        <v>53650.34</v>
      </c>
      <c r="R184" s="67">
        <v>45926</v>
      </c>
      <c r="S184" s="6" t="s">
        <v>74</v>
      </c>
      <c r="T184" s="10" t="s">
        <v>96</v>
      </c>
      <c r="U184" s="66">
        <f>N184-O184-Q184</f>
        <v>0</v>
      </c>
      <c r="V184" s="8"/>
      <c r="W184" s="7" t="str">
        <f>IF(U184=0,"No Due","Outstanding")</f>
        <v>No Due</v>
      </c>
      <c r="Z184" s="266">
        <v>45563</v>
      </c>
      <c r="AA184" s="41">
        <v>0</v>
      </c>
      <c r="AB184" s="41">
        <v>0</v>
      </c>
      <c r="AC184" s="41">
        <v>0</v>
      </c>
      <c r="AD184" s="41">
        <v>0</v>
      </c>
      <c r="AE184" s="236">
        <f>SUM(Z184:AD184)</f>
        <v>45563</v>
      </c>
      <c r="AF184" s="239">
        <f>J184-AE184</f>
        <v>0</v>
      </c>
      <c r="AG184" s="237">
        <f>AF184</f>
        <v>0</v>
      </c>
      <c r="AH184" s="237">
        <v>0</v>
      </c>
      <c r="AI184" s="237"/>
    </row>
    <row r="185" spans="1:35" ht="30" hidden="1" customHeight="1" x14ac:dyDescent="0.3">
      <c r="A185" s="3">
        <f>A184+1</f>
        <v>184</v>
      </c>
      <c r="B185" s="298" t="s">
        <v>601</v>
      </c>
      <c r="C185" s="46">
        <v>45919</v>
      </c>
      <c r="D185" s="164" t="s">
        <v>70</v>
      </c>
      <c r="E185" s="322" t="s">
        <v>620</v>
      </c>
      <c r="F185" s="306" t="s">
        <v>626</v>
      </c>
      <c r="G185" s="261">
        <v>24</v>
      </c>
      <c r="H185" s="8" t="s">
        <v>627</v>
      </c>
      <c r="I185" s="24" t="s">
        <v>621</v>
      </c>
      <c r="J185" s="45">
        <v>29814</v>
      </c>
      <c r="K185" s="169">
        <f>ROUND(IF(G185=36,J185*9%,0),0)</f>
        <v>0</v>
      </c>
      <c r="L185" s="40">
        <f>ROUND(IF(G185=36,J185*9%,0),0)</f>
        <v>0</v>
      </c>
      <c r="M185" s="40">
        <f>ROUND(IF(G185=36,J185*0%,J185*18%),0)</f>
        <v>5367</v>
      </c>
      <c r="N185" s="406">
        <f>J185+K185+L185+M185</f>
        <v>35181</v>
      </c>
      <c r="O185" s="21">
        <f>J185*2%</f>
        <v>596.28</v>
      </c>
      <c r="P185" s="9">
        <f>O185/J185</f>
        <v>0.02</v>
      </c>
      <c r="Q185" s="23">
        <v>144465</v>
      </c>
      <c r="R185" s="67">
        <v>45972</v>
      </c>
      <c r="S185" s="6" t="s">
        <v>74</v>
      </c>
      <c r="T185" s="10" t="s">
        <v>147</v>
      </c>
      <c r="U185" s="66">
        <f>ROUND(N185-O185-Q185+109880,0)</f>
        <v>0</v>
      </c>
      <c r="V185" s="8"/>
      <c r="W185" s="7" t="str">
        <f>IF(U185=0,"No Due","Outstanding")</f>
        <v>No Due</v>
      </c>
      <c r="X185" s="26"/>
      <c r="Z185" s="266">
        <v>21636</v>
      </c>
      <c r="AA185" s="41">
        <v>3824</v>
      </c>
      <c r="AB185" s="41">
        <v>0</v>
      </c>
      <c r="AC185" s="41">
        <v>0</v>
      </c>
      <c r="AD185" s="41">
        <v>2934</v>
      </c>
      <c r="AE185" s="236">
        <f>SUM(Z185:AD185)</f>
        <v>28394</v>
      </c>
      <c r="AF185" s="239">
        <f>J185-AE185</f>
        <v>1420</v>
      </c>
      <c r="AG185" s="237"/>
      <c r="AH185" s="237">
        <v>0</v>
      </c>
      <c r="AI185" s="237" t="s">
        <v>1003</v>
      </c>
    </row>
    <row r="186" spans="1:35" ht="30" hidden="1" customHeight="1" x14ac:dyDescent="0.3">
      <c r="A186" s="3">
        <f>A185+1</f>
        <v>185</v>
      </c>
      <c r="B186" s="298" t="s">
        <v>601</v>
      </c>
      <c r="C186" s="46">
        <v>45915</v>
      </c>
      <c r="D186" s="60" t="s">
        <v>33</v>
      </c>
      <c r="E186" s="305" t="s">
        <v>622</v>
      </c>
      <c r="F186" s="260" t="s">
        <v>37</v>
      </c>
      <c r="G186" s="261">
        <v>36</v>
      </c>
      <c r="H186" s="8" t="s">
        <v>38</v>
      </c>
      <c r="I186" s="24" t="s">
        <v>624</v>
      </c>
      <c r="J186" s="45">
        <f>158333+(190000*3)</f>
        <v>728333</v>
      </c>
      <c r="K186" s="43">
        <f>ROUND(IF(G186=36,J186*9%,0),0)</f>
        <v>65550</v>
      </c>
      <c r="L186" s="40">
        <f>ROUND(IF(G186=36,J186*9%,0),0)</f>
        <v>65550</v>
      </c>
      <c r="M186" s="40">
        <f>ROUND(IF(G186=36,J186*0%,J186*18%),0)</f>
        <v>0</v>
      </c>
      <c r="N186" s="406">
        <f>J186+K186+L186+M186</f>
        <v>859433</v>
      </c>
      <c r="O186" s="21">
        <f>J186*10%</f>
        <v>72833.3</v>
      </c>
      <c r="P186" s="9">
        <f>O186/J186</f>
        <v>0.1</v>
      </c>
      <c r="Q186" s="23">
        <f>1573200/2</f>
        <v>786600</v>
      </c>
      <c r="R186" s="67">
        <v>45980</v>
      </c>
      <c r="S186" s="6" t="s">
        <v>74</v>
      </c>
      <c r="T186" s="10" t="s">
        <v>124</v>
      </c>
      <c r="U186" s="66">
        <f>N186-O186-Q186</f>
        <v>-0.30000000004656613</v>
      </c>
      <c r="V186" s="8"/>
      <c r="W186" s="383" t="s">
        <v>811</v>
      </c>
      <c r="Z186" s="266">
        <v>601329</v>
      </c>
      <c r="AA186" s="41">
        <v>15000</v>
      </c>
      <c r="AB186" s="41"/>
      <c r="AC186" s="41">
        <v>800</v>
      </c>
      <c r="AD186" s="41"/>
      <c r="AE186" s="236">
        <f>SUBTOTAL(9,Z186:AD186)</f>
        <v>0</v>
      </c>
      <c r="AF186" s="239">
        <f>J186-AE186</f>
        <v>728333</v>
      </c>
      <c r="AG186" s="237">
        <v>111204</v>
      </c>
      <c r="AH186" s="237"/>
      <c r="AI186" s="237"/>
    </row>
    <row r="187" spans="1:35" ht="30" hidden="1" customHeight="1" x14ac:dyDescent="0.3">
      <c r="A187" s="3">
        <f>A186+1</f>
        <v>186</v>
      </c>
      <c r="B187" s="298" t="s">
        <v>601</v>
      </c>
      <c r="C187" s="46">
        <v>45915</v>
      </c>
      <c r="D187" s="60" t="s">
        <v>33</v>
      </c>
      <c r="E187" s="305" t="s">
        <v>623</v>
      </c>
      <c r="F187" s="260" t="s">
        <v>37</v>
      </c>
      <c r="G187" s="261">
        <v>36</v>
      </c>
      <c r="H187" s="8" t="s">
        <v>38</v>
      </c>
      <c r="I187" s="24" t="s">
        <v>625</v>
      </c>
      <c r="J187" s="45">
        <f>158333+(190000*3)</f>
        <v>728333</v>
      </c>
      <c r="K187" s="43">
        <f>ROUND(IF(G187=36,J187*9%,0),0)</f>
        <v>65550</v>
      </c>
      <c r="L187" s="40">
        <f>ROUND(IF(G187=36,J187*9%,0),0)</f>
        <v>65550</v>
      </c>
      <c r="M187" s="40">
        <f>ROUND(IF(G187=36,J187*0%,J187*18%),0)</f>
        <v>0</v>
      </c>
      <c r="N187" s="406">
        <f>J187+K187+L187+M187</f>
        <v>859433</v>
      </c>
      <c r="O187" s="21">
        <f>J187*10%</f>
        <v>72833.3</v>
      </c>
      <c r="P187" s="9">
        <f>O187/J187</f>
        <v>0.1</v>
      </c>
      <c r="Q187" s="23">
        <f>1573200/2</f>
        <v>786600</v>
      </c>
      <c r="R187" s="67">
        <v>45980</v>
      </c>
      <c r="S187" s="6" t="s">
        <v>74</v>
      </c>
      <c r="T187" s="10" t="s">
        <v>124</v>
      </c>
      <c r="U187" s="66">
        <f>N187-O187-Q187</f>
        <v>-0.30000000004656613</v>
      </c>
      <c r="V187" s="8"/>
      <c r="W187" s="383" t="s">
        <v>811</v>
      </c>
      <c r="Z187" s="266">
        <v>601329</v>
      </c>
      <c r="AA187" s="41">
        <v>15000</v>
      </c>
      <c r="AB187" s="41"/>
      <c r="AC187" s="41">
        <v>800</v>
      </c>
      <c r="AD187" s="41"/>
      <c r="AE187" s="236">
        <f>SUBTOTAL(9,Z187:AD187)</f>
        <v>0</v>
      </c>
      <c r="AF187" s="239">
        <f>J187-AE187</f>
        <v>728333</v>
      </c>
      <c r="AG187" s="237">
        <v>111204</v>
      </c>
      <c r="AH187" s="237"/>
      <c r="AI187" s="237"/>
    </row>
    <row r="188" spans="1:35" ht="30" hidden="1" customHeight="1" x14ac:dyDescent="0.3">
      <c r="A188" s="3">
        <f>A187+1</f>
        <v>187</v>
      </c>
      <c r="B188" s="298" t="s">
        <v>601</v>
      </c>
      <c r="C188" s="46">
        <v>45923</v>
      </c>
      <c r="D188" s="46" t="s">
        <v>33</v>
      </c>
      <c r="E188" s="321" t="s">
        <v>628</v>
      </c>
      <c r="F188" s="260" t="s">
        <v>34</v>
      </c>
      <c r="G188" s="261">
        <v>36</v>
      </c>
      <c r="H188" s="8" t="s">
        <v>55</v>
      </c>
      <c r="I188" s="24" t="s">
        <v>630</v>
      </c>
      <c r="J188" s="162">
        <v>89000</v>
      </c>
      <c r="K188" s="148">
        <f>ROUND(IF(G188=36,J188*9%,0),0)</f>
        <v>8010</v>
      </c>
      <c r="L188" s="40">
        <f>ROUND(IF(G188=36,J188*9%,0),0)</f>
        <v>8010</v>
      </c>
      <c r="M188" s="40">
        <f>ROUND(IF(G188=36,J188*0%,J188*18%),0)</f>
        <v>0</v>
      </c>
      <c r="N188" s="406">
        <f>J188+K188+L188+M188</f>
        <v>105020</v>
      </c>
      <c r="O188" s="21">
        <f>N188-Q188</f>
        <v>222.5</v>
      </c>
      <c r="P188" s="9">
        <f>O188/J188</f>
        <v>2.5000000000000001E-3</v>
      </c>
      <c r="Q188" s="23">
        <f>N188-(J188*0.25%)</f>
        <v>104797.5</v>
      </c>
      <c r="R188" s="67">
        <v>45953</v>
      </c>
      <c r="S188" s="6" t="s">
        <v>74</v>
      </c>
      <c r="T188" s="10" t="s">
        <v>124</v>
      </c>
      <c r="U188" s="66">
        <f>N188-O188-Q188</f>
        <v>0</v>
      </c>
      <c r="V188" s="8"/>
      <c r="W188" s="7" t="str">
        <f>IF(U188=0,"No Due","Outstanding")</f>
        <v>No Due</v>
      </c>
      <c r="Z188" s="266">
        <v>73333</v>
      </c>
      <c r="AA188" s="41">
        <v>3750</v>
      </c>
      <c r="AB188" s="41">
        <v>0</v>
      </c>
      <c r="AC188" s="41">
        <v>200</v>
      </c>
      <c r="AD188" s="41">
        <v>0</v>
      </c>
      <c r="AE188" s="236">
        <f>SUM(Z188:AD188)</f>
        <v>77283</v>
      </c>
      <c r="AF188" s="239">
        <f>J188-AE188</f>
        <v>11717</v>
      </c>
      <c r="AG188" s="237">
        <f>AF188</f>
        <v>11717</v>
      </c>
      <c r="AH188" s="237"/>
      <c r="AI188" s="237"/>
    </row>
    <row r="189" spans="1:35" ht="30" hidden="1" customHeight="1" x14ac:dyDescent="0.3">
      <c r="A189" s="3">
        <f>A188+1</f>
        <v>188</v>
      </c>
      <c r="B189" s="298" t="s">
        <v>601</v>
      </c>
      <c r="C189" s="46">
        <v>45923</v>
      </c>
      <c r="D189" s="46" t="s">
        <v>33</v>
      </c>
      <c r="E189" s="321" t="s">
        <v>629</v>
      </c>
      <c r="F189" s="260" t="s">
        <v>34</v>
      </c>
      <c r="G189" s="261">
        <v>36</v>
      </c>
      <c r="H189" s="8" t="s">
        <v>55</v>
      </c>
      <c r="I189" s="24" t="s">
        <v>631</v>
      </c>
      <c r="J189" s="162">
        <v>89000</v>
      </c>
      <c r="K189" s="148">
        <f>ROUND(IF(G189=36,J189*9%,0),0)</f>
        <v>8010</v>
      </c>
      <c r="L189" s="40">
        <f>ROUND(IF(G189=36,J189*9%,0),0)</f>
        <v>8010</v>
      </c>
      <c r="M189" s="40">
        <f>ROUND(IF(G189=36,J189*0%,J189*18%),0)</f>
        <v>0</v>
      </c>
      <c r="N189" s="406">
        <f>J189+K189+L189+M189</f>
        <v>105020</v>
      </c>
      <c r="O189" s="21">
        <f>N189-Q189</f>
        <v>222.5</v>
      </c>
      <c r="P189" s="9">
        <f>O189/J189</f>
        <v>2.5000000000000001E-3</v>
      </c>
      <c r="Q189" s="23">
        <f>N189-(J189*0.25%)</f>
        <v>104797.5</v>
      </c>
      <c r="R189" s="67">
        <v>45953</v>
      </c>
      <c r="S189" s="6" t="s">
        <v>74</v>
      </c>
      <c r="T189" s="10" t="s">
        <v>124</v>
      </c>
      <c r="U189" s="66">
        <f>N189-O189-Q189</f>
        <v>0</v>
      </c>
      <c r="V189" s="8"/>
      <c r="W189" s="7" t="str">
        <f>IF(U189=0,"No Due","Outstanding")</f>
        <v>No Due</v>
      </c>
      <c r="Z189" s="266">
        <v>73333</v>
      </c>
      <c r="AA189" s="41">
        <v>3750</v>
      </c>
      <c r="AB189" s="41">
        <v>0</v>
      </c>
      <c r="AC189" s="41">
        <v>200</v>
      </c>
      <c r="AD189" s="41">
        <v>0</v>
      </c>
      <c r="AE189" s="236">
        <f>SUM(Z189:AD189)</f>
        <v>77283</v>
      </c>
      <c r="AF189" s="239">
        <f>J189-AE189</f>
        <v>11717</v>
      </c>
      <c r="AG189" s="237">
        <f>AF189</f>
        <v>11717</v>
      </c>
      <c r="AH189" s="237"/>
      <c r="AI189" s="237"/>
    </row>
    <row r="190" spans="1:35" ht="30" hidden="1" customHeight="1" x14ac:dyDescent="0.3">
      <c r="A190" s="3">
        <f>A189+1</f>
        <v>189</v>
      </c>
      <c r="B190" s="298" t="s">
        <v>601</v>
      </c>
      <c r="C190" s="46">
        <v>45925</v>
      </c>
      <c r="D190" s="75" t="s">
        <v>70</v>
      </c>
      <c r="E190" s="307" t="s">
        <v>632</v>
      </c>
      <c r="F190" s="260" t="s">
        <v>126</v>
      </c>
      <c r="G190" s="261">
        <v>24</v>
      </c>
      <c r="H190" s="8" t="s">
        <v>125</v>
      </c>
      <c r="I190" s="24" t="s">
        <v>634</v>
      </c>
      <c r="J190" s="45">
        <f>11936792-20000</f>
        <v>11916792</v>
      </c>
      <c r="K190" s="43">
        <f>ROUND(IF(G190=36,J190*9%,0),0)</f>
        <v>0</v>
      </c>
      <c r="L190" s="40">
        <f>ROUND(IF(G190=36,J190*9%,0),0)</f>
        <v>0</v>
      </c>
      <c r="M190" s="40">
        <f>ROUND(IF(G190=36,J190*0%,J190*18%),0)</f>
        <v>2145023</v>
      </c>
      <c r="N190" s="406">
        <f>J190+K190+L190+M190</f>
        <v>14061815</v>
      </c>
      <c r="O190" s="21">
        <f>N190-Q190</f>
        <v>29792.439999999478</v>
      </c>
      <c r="P190" s="9">
        <f>O190/J190</f>
        <v>2.5000386009925725E-3</v>
      </c>
      <c r="Q190" s="23">
        <f>14032022.56</f>
        <v>14032022.560000001</v>
      </c>
      <c r="R190" s="67">
        <v>45931</v>
      </c>
      <c r="S190" s="6" t="s">
        <v>74</v>
      </c>
      <c r="T190" s="10" t="s">
        <v>569</v>
      </c>
      <c r="U190" s="66">
        <f>N190-O190-Q190</f>
        <v>0</v>
      </c>
      <c r="V190" s="8"/>
      <c r="W190" s="7" t="str">
        <f>IF(U190=0,"No Due","Outstanding")</f>
        <v>No Due</v>
      </c>
      <c r="Z190" s="266">
        <v>10009834</v>
      </c>
      <c r="AA190" s="41">
        <v>1430158</v>
      </c>
      <c r="AB190" s="41"/>
      <c r="AC190" s="41">
        <v>76000</v>
      </c>
      <c r="AD190" s="41"/>
      <c r="AE190" s="236">
        <f>SUM(Z190:AD190)</f>
        <v>11515992</v>
      </c>
      <c r="AF190" s="239">
        <f>J190-AE190</f>
        <v>400800</v>
      </c>
      <c r="AG190" s="237">
        <f>AF190-50000</f>
        <v>350800</v>
      </c>
      <c r="AH190" s="237">
        <v>50000</v>
      </c>
      <c r="AI190" s="237"/>
    </row>
    <row r="191" spans="1:35" ht="30" hidden="1" customHeight="1" x14ac:dyDescent="0.3">
      <c r="A191" s="3">
        <f>A190+1</f>
        <v>190</v>
      </c>
      <c r="B191" s="298" t="s">
        <v>601</v>
      </c>
      <c r="C191" s="46">
        <v>45925</v>
      </c>
      <c r="D191" s="75" t="s">
        <v>70</v>
      </c>
      <c r="E191" s="307" t="s">
        <v>633</v>
      </c>
      <c r="F191" s="260" t="s">
        <v>126</v>
      </c>
      <c r="G191" s="261">
        <v>24</v>
      </c>
      <c r="H191" s="8" t="s">
        <v>125</v>
      </c>
      <c r="I191" s="24" t="s">
        <v>635</v>
      </c>
      <c r="J191" s="45">
        <v>2200</v>
      </c>
      <c r="K191" s="132">
        <f>ROUND(IF(G191=36,J191*9%,0),0)</f>
        <v>0</v>
      </c>
      <c r="L191" s="40">
        <f>ROUND(IF(G191=36,J191*9%,0),0)</f>
        <v>0</v>
      </c>
      <c r="M191" s="40">
        <f>ROUND(IF(G191=36,J191*0%,J191*18%),0)</f>
        <v>396</v>
      </c>
      <c r="N191" s="406">
        <f>J191+K191+L191+M191</f>
        <v>2596</v>
      </c>
      <c r="O191" s="21">
        <f>N191-Q191</f>
        <v>6</v>
      </c>
      <c r="P191" s="9">
        <f>O191/J191</f>
        <v>2.7272727272727275E-3</v>
      </c>
      <c r="Q191" s="23">
        <v>2590</v>
      </c>
      <c r="R191" s="67">
        <v>45948</v>
      </c>
      <c r="S191" s="6" t="s">
        <v>74</v>
      </c>
      <c r="T191" s="10" t="s">
        <v>569</v>
      </c>
      <c r="U191" s="66">
        <f>N191-O191-Q191</f>
        <v>0</v>
      </c>
      <c r="V191" s="8"/>
      <c r="W191" s="7" t="str">
        <f>IF(U191=0,"No Due","Outstanding")</f>
        <v>No Due</v>
      </c>
      <c r="Z191" s="266">
        <v>2200</v>
      </c>
      <c r="AA191" s="41">
        <v>0</v>
      </c>
      <c r="AB191" s="41"/>
      <c r="AC191" s="41"/>
      <c r="AD191" s="41"/>
      <c r="AE191" s="236">
        <f>SUM(Z191:AD191)</f>
        <v>2200</v>
      </c>
      <c r="AF191" s="239">
        <f>J191-AE191</f>
        <v>0</v>
      </c>
      <c r="AG191" s="237"/>
      <c r="AH191" s="237"/>
      <c r="AI191" s="237"/>
    </row>
    <row r="192" spans="1:35" ht="30" customHeight="1" x14ac:dyDescent="0.3">
      <c r="A192" s="3">
        <f>A191+1</f>
        <v>191</v>
      </c>
      <c r="B192" s="298" t="s">
        <v>601</v>
      </c>
      <c r="C192" s="46">
        <v>45930</v>
      </c>
      <c r="D192" s="146" t="s">
        <v>288</v>
      </c>
      <c r="E192" s="308" t="s">
        <v>636</v>
      </c>
      <c r="F192" s="146" t="s">
        <v>289</v>
      </c>
      <c r="G192" s="147">
        <v>36</v>
      </c>
      <c r="H192" s="8" t="s">
        <v>287</v>
      </c>
      <c r="I192" s="24" t="s">
        <v>639</v>
      </c>
      <c r="J192" s="162">
        <v>442637.84</v>
      </c>
      <c r="K192" s="148">
        <f>ROUND(IF(G192=36,J192*9%,0),0)</f>
        <v>39837</v>
      </c>
      <c r="L192" s="40">
        <f>ROUND(IF(G192=36,J192*9%,0),0)</f>
        <v>39837</v>
      </c>
      <c r="M192" s="40">
        <f>ROUND(IF(G192=36,J192*0%,J192*18%),0)</f>
        <v>0</v>
      </c>
      <c r="N192" s="406">
        <f>J192+K192+L192+M192</f>
        <v>522311.84</v>
      </c>
      <c r="O192" s="21">
        <f>N192-Q192</f>
        <v>1106.5946000000113</v>
      </c>
      <c r="P192" s="9">
        <f>O192/J192</f>
        <v>2.5000000000000252E-3</v>
      </c>
      <c r="Q192" s="23">
        <f>N192-(J192*0.25%)</f>
        <v>521205.24540000001</v>
      </c>
      <c r="R192" s="67">
        <v>45939</v>
      </c>
      <c r="S192" s="6" t="s">
        <v>74</v>
      </c>
      <c r="T192" s="10" t="s">
        <v>322</v>
      </c>
      <c r="U192" s="66">
        <f>N192-O192-Q192</f>
        <v>0</v>
      </c>
      <c r="V192" s="8"/>
      <c r="W192" s="7" t="str">
        <f>IF(U192=0,"No Due","Outstanding")</f>
        <v>No Due</v>
      </c>
      <c r="Z192" s="266">
        <f>314005-13854</f>
        <v>300151</v>
      </c>
      <c r="AA192" s="41">
        <f>84038-2025-1800</f>
        <v>80213</v>
      </c>
      <c r="AB192" s="41">
        <f>2666+11567-508-117</f>
        <v>13608</v>
      </c>
      <c r="AC192" s="41">
        <f>1950-150</f>
        <v>1800</v>
      </c>
      <c r="AD192" s="41"/>
      <c r="AE192" s="236">
        <f>SUM(Z192:AD192)</f>
        <v>395772</v>
      </c>
      <c r="AF192" s="239">
        <f>J192-AE192</f>
        <v>46865.840000000026</v>
      </c>
      <c r="AG192" s="237">
        <f>AF192</f>
        <v>46865.840000000026</v>
      </c>
      <c r="AH192" s="237"/>
      <c r="AI192" s="237"/>
    </row>
    <row r="193" spans="1:35" ht="30" customHeight="1" x14ac:dyDescent="0.3">
      <c r="A193" s="3">
        <f>A192+1</f>
        <v>192</v>
      </c>
      <c r="B193" s="298" t="s">
        <v>601</v>
      </c>
      <c r="C193" s="46">
        <v>45930</v>
      </c>
      <c r="D193" s="146" t="s">
        <v>288</v>
      </c>
      <c r="E193" s="308" t="s">
        <v>637</v>
      </c>
      <c r="F193" s="146" t="s">
        <v>289</v>
      </c>
      <c r="G193" s="147">
        <v>36</v>
      </c>
      <c r="H193" s="8" t="s">
        <v>287</v>
      </c>
      <c r="I193" s="24" t="s">
        <v>640</v>
      </c>
      <c r="J193" s="162">
        <v>120530.77</v>
      </c>
      <c r="K193" s="148">
        <f>ROUND(IF(G193=36,J193*9%,0),0)</f>
        <v>10848</v>
      </c>
      <c r="L193" s="40">
        <f>ROUND(IF(G193=36,J193*9%,0),0)</f>
        <v>10848</v>
      </c>
      <c r="M193" s="40">
        <f>ROUND(IF(G193=36,J193*0%,J193*18%),0)</f>
        <v>0</v>
      </c>
      <c r="N193" s="406">
        <f>J193+K193+L193+M193</f>
        <v>142226.77000000002</v>
      </c>
      <c r="O193" s="21">
        <f>N193-Q193</f>
        <v>301.32692500000121</v>
      </c>
      <c r="P193" s="9">
        <f>O193/J193</f>
        <v>2.50000000000001E-3</v>
      </c>
      <c r="Q193" s="23">
        <f>N193-(J193*0.25%)</f>
        <v>141925.44307500002</v>
      </c>
      <c r="R193" s="67">
        <v>45939</v>
      </c>
      <c r="S193" s="6" t="s">
        <v>74</v>
      </c>
      <c r="T193" s="10" t="s">
        <v>322</v>
      </c>
      <c r="U193" s="66">
        <f>N193-O193-Q193</f>
        <v>0</v>
      </c>
      <c r="V193" s="8"/>
      <c r="W193" s="7" t="str">
        <f>IF(U193=0,"No Due","Outstanding")</f>
        <v>No Due</v>
      </c>
      <c r="Z193" s="266">
        <f>111603-2314</f>
        <v>109289</v>
      </c>
      <c r="AA193" s="41">
        <v>0</v>
      </c>
      <c r="AB193" s="41">
        <v>0</v>
      </c>
      <c r="AC193" s="41">
        <v>0</v>
      </c>
      <c r="AD193" s="41">
        <v>0</v>
      </c>
      <c r="AE193" s="236">
        <f>SUM(Z193:AD193)</f>
        <v>109289</v>
      </c>
      <c r="AF193" s="239">
        <f>J193-AE193</f>
        <v>11241.770000000004</v>
      </c>
      <c r="AG193" s="237">
        <f>AF193</f>
        <v>11241.770000000004</v>
      </c>
      <c r="AH193" s="237"/>
      <c r="AI193" s="237"/>
    </row>
    <row r="194" spans="1:35" ht="30" customHeight="1" x14ac:dyDescent="0.3">
      <c r="A194" s="3">
        <f>A193+1</f>
        <v>193</v>
      </c>
      <c r="B194" s="298" t="s">
        <v>601</v>
      </c>
      <c r="C194" s="46">
        <v>45930</v>
      </c>
      <c r="D194" s="146" t="s">
        <v>288</v>
      </c>
      <c r="E194" s="308" t="s">
        <v>638</v>
      </c>
      <c r="F194" s="146" t="s">
        <v>289</v>
      </c>
      <c r="G194" s="147">
        <v>36</v>
      </c>
      <c r="H194" s="8" t="s">
        <v>287</v>
      </c>
      <c r="I194" s="24" t="s">
        <v>639</v>
      </c>
      <c r="J194" s="162">
        <v>100640.04</v>
      </c>
      <c r="K194" s="148">
        <f>ROUND(IF(G194=36,J194*9%,0),0)</f>
        <v>9058</v>
      </c>
      <c r="L194" s="40">
        <f>ROUND(IF(G194=36,J194*9%,0),0)</f>
        <v>9058</v>
      </c>
      <c r="M194" s="40">
        <f>ROUND(IF(G194=36,J194*0%,J194*18%),0)</f>
        <v>0</v>
      </c>
      <c r="N194" s="406">
        <f>J194+K194+L194+M194</f>
        <v>118756.04</v>
      </c>
      <c r="O194" s="21">
        <f>N194-Q194</f>
        <v>251.60009999999602</v>
      </c>
      <c r="P194" s="9">
        <f>O194/J194</f>
        <v>2.4999999999999606E-3</v>
      </c>
      <c r="Q194" s="23">
        <f>N194-(J194*0.25%)</f>
        <v>118504.4399</v>
      </c>
      <c r="R194" s="67">
        <v>45939</v>
      </c>
      <c r="S194" s="6" t="s">
        <v>74</v>
      </c>
      <c r="T194" s="10" t="s">
        <v>322</v>
      </c>
      <c r="U194" s="66">
        <f>N194-O194-Q194</f>
        <v>0</v>
      </c>
      <c r="V194" s="8"/>
      <c r="W194" s="7" t="str">
        <f>IF(U194=0,"No Due","Outstanding")</f>
        <v>No Due</v>
      </c>
      <c r="Z194" s="266">
        <v>72016</v>
      </c>
      <c r="AA194" s="41">
        <v>18326</v>
      </c>
      <c r="AB194" s="41">
        <v>3287</v>
      </c>
      <c r="AC194" s="41">
        <v>450</v>
      </c>
      <c r="AD194" s="41"/>
      <c r="AE194" s="236">
        <f>SUM(Z194:AD194)</f>
        <v>94079</v>
      </c>
      <c r="AF194" s="239">
        <f>J194-AE194</f>
        <v>6561.0399999999936</v>
      </c>
      <c r="AG194" s="237">
        <f>AF194</f>
        <v>6561.0399999999936</v>
      </c>
      <c r="AH194" s="237"/>
      <c r="AI194" s="237"/>
    </row>
    <row r="195" spans="1:35" ht="30" hidden="1" customHeight="1" x14ac:dyDescent="0.3">
      <c r="A195" s="3">
        <f>A194+1</f>
        <v>194</v>
      </c>
      <c r="B195" s="298" t="s">
        <v>601</v>
      </c>
      <c r="C195" s="46">
        <v>45930</v>
      </c>
      <c r="D195" s="319" t="s">
        <v>679</v>
      </c>
      <c r="E195" s="320" t="s">
        <v>680</v>
      </c>
      <c r="F195" s="146"/>
      <c r="G195" s="147"/>
      <c r="H195" s="8" t="s">
        <v>675</v>
      </c>
      <c r="I195" s="24" t="s">
        <v>684</v>
      </c>
      <c r="J195" s="162"/>
      <c r="K195" s="148"/>
      <c r="L195" s="40"/>
      <c r="M195" s="40"/>
      <c r="N195" s="406">
        <f>J195+K195+L195+M195</f>
        <v>0</v>
      </c>
      <c r="O195" s="21"/>
      <c r="P195" s="9"/>
      <c r="Q195" s="23"/>
      <c r="R195" s="67"/>
      <c r="S195" s="6"/>
      <c r="T195" s="10"/>
      <c r="U195" s="66">
        <f>N195-O195-Q195</f>
        <v>0</v>
      </c>
      <c r="V195" s="8"/>
      <c r="W195" s="7" t="str">
        <f>IF(U195=0,"No Due","Outstanding")</f>
        <v>No Due</v>
      </c>
      <c r="Z195" s="266"/>
      <c r="AA195" s="41"/>
      <c r="AB195" s="41"/>
      <c r="AC195" s="41"/>
      <c r="AD195" s="41"/>
      <c r="AE195" s="236"/>
      <c r="AF195" s="239"/>
      <c r="AG195" s="237"/>
      <c r="AH195" s="237"/>
      <c r="AI195" s="237"/>
    </row>
    <row r="196" spans="1:35" ht="30" hidden="1" customHeight="1" x14ac:dyDescent="0.3">
      <c r="A196" s="3">
        <f>A195+1</f>
        <v>195</v>
      </c>
      <c r="B196" s="298" t="s">
        <v>601</v>
      </c>
      <c r="C196" s="46">
        <v>45930</v>
      </c>
      <c r="D196" s="319" t="s">
        <v>679</v>
      </c>
      <c r="E196" s="320" t="s">
        <v>681</v>
      </c>
      <c r="F196" s="146"/>
      <c r="G196" s="147"/>
      <c r="H196" s="8" t="s">
        <v>676</v>
      </c>
      <c r="I196" s="24" t="s">
        <v>684</v>
      </c>
      <c r="J196" s="162"/>
      <c r="K196" s="148"/>
      <c r="L196" s="40"/>
      <c r="M196" s="40"/>
      <c r="N196" s="406">
        <f>J196+K196+L196+M196</f>
        <v>0</v>
      </c>
      <c r="O196" s="21"/>
      <c r="P196" s="9"/>
      <c r="Q196" s="23"/>
      <c r="R196" s="67"/>
      <c r="S196" s="6"/>
      <c r="T196" s="10"/>
      <c r="U196" s="66">
        <f>N196-O196-Q196</f>
        <v>0</v>
      </c>
      <c r="V196" s="8"/>
      <c r="W196" s="7" t="str">
        <f>IF(U196=0,"No Due","Outstanding")</f>
        <v>No Due</v>
      </c>
      <c r="Z196" s="266"/>
      <c r="AA196" s="41"/>
      <c r="AB196" s="41"/>
      <c r="AC196" s="41"/>
      <c r="AD196" s="41"/>
      <c r="AE196" s="236"/>
      <c r="AF196" s="239"/>
      <c r="AG196" s="237"/>
      <c r="AH196" s="237"/>
      <c r="AI196" s="237"/>
    </row>
    <row r="197" spans="1:35" ht="30" hidden="1" customHeight="1" x14ac:dyDescent="0.3">
      <c r="A197" s="3">
        <f>A196+1</f>
        <v>196</v>
      </c>
      <c r="B197" s="298" t="s">
        <v>601</v>
      </c>
      <c r="C197" s="46">
        <v>45930</v>
      </c>
      <c r="D197" s="319" t="s">
        <v>679</v>
      </c>
      <c r="E197" s="320" t="s">
        <v>682</v>
      </c>
      <c r="F197" s="146"/>
      <c r="G197" s="147"/>
      <c r="H197" s="8" t="s">
        <v>677</v>
      </c>
      <c r="I197" s="24" t="s">
        <v>685</v>
      </c>
      <c r="J197" s="162"/>
      <c r="K197" s="148"/>
      <c r="L197" s="40"/>
      <c r="M197" s="40"/>
      <c r="N197" s="406">
        <f>J197+K197+L197+M197</f>
        <v>0</v>
      </c>
      <c r="O197" s="21"/>
      <c r="P197" s="9"/>
      <c r="Q197" s="23"/>
      <c r="R197" s="67"/>
      <c r="S197" s="6"/>
      <c r="T197" s="10"/>
      <c r="U197" s="66">
        <f>N197-O197-Q197</f>
        <v>0</v>
      </c>
      <c r="V197" s="8"/>
      <c r="W197" s="7" t="str">
        <f>IF(U197=0,"No Due","Outstanding")</f>
        <v>No Due</v>
      </c>
      <c r="Z197" s="266"/>
      <c r="AA197" s="41"/>
      <c r="AB197" s="41"/>
      <c r="AC197" s="41"/>
      <c r="AD197" s="41"/>
      <c r="AE197" s="236"/>
      <c r="AF197" s="239"/>
      <c r="AG197" s="237"/>
      <c r="AH197" s="237"/>
      <c r="AI197" s="237"/>
    </row>
    <row r="198" spans="1:35" ht="30" hidden="1" customHeight="1" x14ac:dyDescent="0.3">
      <c r="A198" s="3">
        <f>A197+1</f>
        <v>197</v>
      </c>
      <c r="B198" s="298" t="s">
        <v>601</v>
      </c>
      <c r="C198" s="46">
        <v>45930</v>
      </c>
      <c r="D198" s="319" t="s">
        <v>679</v>
      </c>
      <c r="E198" s="320" t="s">
        <v>683</v>
      </c>
      <c r="F198" s="146"/>
      <c r="G198" s="147"/>
      <c r="H198" s="8" t="s">
        <v>678</v>
      </c>
      <c r="I198" s="24" t="s">
        <v>685</v>
      </c>
      <c r="J198" s="162"/>
      <c r="K198" s="148"/>
      <c r="L198" s="40"/>
      <c r="M198" s="40"/>
      <c r="N198" s="406">
        <f>J198+K198+L198+M198</f>
        <v>0</v>
      </c>
      <c r="O198" s="21"/>
      <c r="P198" s="9"/>
      <c r="Q198" s="23"/>
      <c r="R198" s="67"/>
      <c r="S198" s="6"/>
      <c r="T198" s="10"/>
      <c r="U198" s="66">
        <f>N198-O198-Q198</f>
        <v>0</v>
      </c>
      <c r="V198" s="8"/>
      <c r="W198" s="7" t="str">
        <f>IF(U198=0,"No Due","Outstanding")</f>
        <v>No Due</v>
      </c>
      <c r="Z198" s="266"/>
      <c r="AA198" s="41"/>
      <c r="AB198" s="41"/>
      <c r="AC198" s="41"/>
      <c r="AD198" s="41"/>
      <c r="AE198" s="236"/>
      <c r="AF198" s="239"/>
      <c r="AG198" s="237"/>
      <c r="AH198" s="237"/>
      <c r="AI198" s="237"/>
    </row>
    <row r="199" spans="1:35" ht="30" hidden="1" customHeight="1" x14ac:dyDescent="0.3">
      <c r="A199" s="3">
        <f>A198+1</f>
        <v>198</v>
      </c>
      <c r="B199" s="309" t="s">
        <v>641</v>
      </c>
      <c r="C199" s="46">
        <v>45931</v>
      </c>
      <c r="D199" s="46" t="s">
        <v>33</v>
      </c>
      <c r="E199" s="310" t="s">
        <v>646</v>
      </c>
      <c r="F199" s="260" t="s">
        <v>34</v>
      </c>
      <c r="G199" s="147">
        <v>36</v>
      </c>
      <c r="H199" s="8" t="s">
        <v>55</v>
      </c>
      <c r="I199" s="24" t="s">
        <v>642</v>
      </c>
      <c r="J199" s="45">
        <f>(72050*25)+(53350*1)+(99751*9)</f>
        <v>2752359</v>
      </c>
      <c r="K199" s="148">
        <f>ROUND(IF(G199=36,J199*9%,0),0)</f>
        <v>247712</v>
      </c>
      <c r="L199" s="40">
        <f>ROUND(IF(G199=36,J199*9%,0),0)</f>
        <v>247712</v>
      </c>
      <c r="M199" s="40">
        <f>ROUND(IF(G199=36,J199*0%,J199*18%),0)</f>
        <v>0</v>
      </c>
      <c r="N199" s="406">
        <f>J199+K199+L199+M199</f>
        <v>3247783</v>
      </c>
      <c r="O199" s="21">
        <f>N199-Q199</f>
        <v>6880.8974999999627</v>
      </c>
      <c r="P199" s="9">
        <f>O199/J199</f>
        <v>2.4999999999999866E-3</v>
      </c>
      <c r="Q199" s="23">
        <f>N199-(J199*0.25%)</f>
        <v>3240902.1025</v>
      </c>
      <c r="R199" s="67">
        <v>45959</v>
      </c>
      <c r="S199" s="6" t="s">
        <v>74</v>
      </c>
      <c r="T199" s="10" t="s">
        <v>124</v>
      </c>
      <c r="U199" s="66">
        <f>N199-O199-Q199</f>
        <v>0</v>
      </c>
      <c r="V199" s="8"/>
      <c r="W199" s="7" t="str">
        <f>IF(U199=0,"No Due","Outstanding")</f>
        <v>No Due</v>
      </c>
      <c r="Z199" s="266">
        <f>2009250-18099</f>
        <v>1991151</v>
      </c>
      <c r="AA199" s="41">
        <v>130868</v>
      </c>
      <c r="AB199" s="41"/>
      <c r="AC199" s="41">
        <v>7000</v>
      </c>
      <c r="AD199" s="41"/>
      <c r="AE199" s="236">
        <f>SUM(Z199:AD199)</f>
        <v>2129019</v>
      </c>
      <c r="AF199" s="239">
        <f>J199-AE199</f>
        <v>623340</v>
      </c>
      <c r="AG199" s="237">
        <f>AF199</f>
        <v>623340</v>
      </c>
      <c r="AH199" s="237"/>
      <c r="AI199" s="237"/>
    </row>
    <row r="200" spans="1:35" ht="30" hidden="1" customHeight="1" x14ac:dyDescent="0.3">
      <c r="A200" s="3">
        <f>A199+1</f>
        <v>199</v>
      </c>
      <c r="B200" s="309" t="s">
        <v>641</v>
      </c>
      <c r="C200" s="46">
        <v>45931</v>
      </c>
      <c r="D200" s="46" t="s">
        <v>33</v>
      </c>
      <c r="E200" s="310" t="s">
        <v>647</v>
      </c>
      <c r="F200" s="260" t="s">
        <v>34</v>
      </c>
      <c r="G200" s="147">
        <v>36</v>
      </c>
      <c r="H200" s="8" t="s">
        <v>55</v>
      </c>
      <c r="I200" s="24" t="s">
        <v>643</v>
      </c>
      <c r="J200" s="162">
        <v>20592</v>
      </c>
      <c r="K200" s="148">
        <f>ROUND(IF(G200=36,J200*9%,0),0)</f>
        <v>1853</v>
      </c>
      <c r="L200" s="40">
        <f>ROUND(IF(G200=36,J200*9%,0),0)</f>
        <v>1853</v>
      </c>
      <c r="M200" s="40">
        <f>ROUND(IF(G200=36,J200*0%,J200*18%),0)</f>
        <v>0</v>
      </c>
      <c r="N200" s="406">
        <f>J200+K200+L200+M200</f>
        <v>24298</v>
      </c>
      <c r="O200" s="21">
        <f>N200-Q200</f>
        <v>51</v>
      </c>
      <c r="P200" s="9">
        <f>O200/J200</f>
        <v>2.4766899766899765E-3</v>
      </c>
      <c r="Q200" s="23">
        <v>24247</v>
      </c>
      <c r="R200" s="67">
        <v>45980</v>
      </c>
      <c r="S200" s="6" t="s">
        <v>74</v>
      </c>
      <c r="T200" s="10" t="s">
        <v>124</v>
      </c>
      <c r="U200" s="66">
        <f>N200-O200-Q200</f>
        <v>0</v>
      </c>
      <c r="V200" s="8"/>
      <c r="W200" s="7" t="str">
        <f>IF(U200=0,"No Due","Outstanding")</f>
        <v>No Due</v>
      </c>
      <c r="Z200" s="266">
        <v>0</v>
      </c>
      <c r="AA200" s="41"/>
      <c r="AB200" s="41"/>
      <c r="AC200" s="41"/>
      <c r="AD200" s="41"/>
      <c r="AE200" s="236">
        <f>SUM(Z200:AD200)</f>
        <v>0</v>
      </c>
      <c r="AF200" s="239">
        <f>J200-AE200</f>
        <v>20592</v>
      </c>
      <c r="AG200" s="237">
        <f>AF200</f>
        <v>20592</v>
      </c>
      <c r="AH200" s="237"/>
      <c r="AI200" s="237"/>
    </row>
    <row r="201" spans="1:35" ht="30" hidden="1" customHeight="1" x14ac:dyDescent="0.3">
      <c r="A201" s="3">
        <f>A200+1</f>
        <v>200</v>
      </c>
      <c r="B201" s="309" t="s">
        <v>641</v>
      </c>
      <c r="C201" s="46">
        <v>45931</v>
      </c>
      <c r="D201" s="46" t="s">
        <v>33</v>
      </c>
      <c r="E201" s="310" t="s">
        <v>648</v>
      </c>
      <c r="F201" s="260" t="s">
        <v>34</v>
      </c>
      <c r="G201" s="147">
        <v>36</v>
      </c>
      <c r="H201" s="8" t="s">
        <v>55</v>
      </c>
      <c r="I201" s="24" t="s">
        <v>644</v>
      </c>
      <c r="J201" s="162">
        <v>99751</v>
      </c>
      <c r="K201" s="148">
        <f>ROUND(IF(G201=36,J201*9%,0),0)</f>
        <v>8978</v>
      </c>
      <c r="L201" s="40">
        <f>ROUND(IF(G201=36,J201*9%,0),0)</f>
        <v>8978</v>
      </c>
      <c r="M201" s="40">
        <f>ROUND(IF(G201=36,J201*0%,J201*18%),0)</f>
        <v>0</v>
      </c>
      <c r="N201" s="406">
        <f>J201+K201+L201+M201</f>
        <v>117707</v>
      </c>
      <c r="O201" s="21">
        <f>N201-Q201</f>
        <v>249.82000000000698</v>
      </c>
      <c r="P201" s="9">
        <f>O201/J201</f>
        <v>2.5044360457539975E-3</v>
      </c>
      <c r="Q201" s="23">
        <v>117457.18</v>
      </c>
      <c r="R201" s="67">
        <v>45945</v>
      </c>
      <c r="S201" s="6" t="s">
        <v>74</v>
      </c>
      <c r="T201" s="10" t="s">
        <v>124</v>
      </c>
      <c r="U201" s="66">
        <f>N201-O201-Q201</f>
        <v>0</v>
      </c>
      <c r="V201" s="8"/>
      <c r="W201" s="7" t="str">
        <f>IF(U201=0,"No Due","Outstanding")</f>
        <v>No Due</v>
      </c>
      <c r="Z201" s="266">
        <v>67978</v>
      </c>
      <c r="AA201" s="41">
        <v>3750</v>
      </c>
      <c r="AB201" s="41"/>
      <c r="AC201" s="41">
        <v>200</v>
      </c>
      <c r="AD201" s="41"/>
      <c r="AE201" s="236">
        <f>SUM(Z201:AD201)</f>
        <v>71928</v>
      </c>
      <c r="AF201" s="239">
        <f>J201-AE201</f>
        <v>27823</v>
      </c>
      <c r="AG201" s="237">
        <f>AF201</f>
        <v>27823</v>
      </c>
      <c r="AH201" s="237"/>
      <c r="AI201" s="237"/>
    </row>
    <row r="202" spans="1:35" ht="30" hidden="1" customHeight="1" x14ac:dyDescent="0.3">
      <c r="A202" s="3">
        <f>A201+1</f>
        <v>201</v>
      </c>
      <c r="B202" s="309" t="s">
        <v>641</v>
      </c>
      <c r="C202" s="46">
        <v>45931</v>
      </c>
      <c r="D202" s="46" t="s">
        <v>33</v>
      </c>
      <c r="E202" s="310" t="s">
        <v>649</v>
      </c>
      <c r="F202" s="260" t="s">
        <v>34</v>
      </c>
      <c r="G202" s="261">
        <v>36</v>
      </c>
      <c r="H202" s="8" t="s">
        <v>55</v>
      </c>
      <c r="I202" s="24" t="s">
        <v>645</v>
      </c>
      <c r="J202" s="162">
        <v>89000</v>
      </c>
      <c r="K202" s="148">
        <f>ROUND(IF(G202=36,J202*9%,0),0)</f>
        <v>8010</v>
      </c>
      <c r="L202" s="40">
        <f>ROUND(IF(G202=36,J202*9%,0),0)</f>
        <v>8010</v>
      </c>
      <c r="M202" s="40">
        <f>ROUND(IF(G202=36,J202*0%,J202*18%),0)</f>
        <v>0</v>
      </c>
      <c r="N202" s="406">
        <f>J202+K202+L202+M202</f>
        <v>105020</v>
      </c>
      <c r="O202" s="21">
        <f>N202-Q202</f>
        <v>222.5</v>
      </c>
      <c r="P202" s="9">
        <f>O202/J202</f>
        <v>2.5000000000000001E-3</v>
      </c>
      <c r="Q202" s="23">
        <f>N202-(J202*0.25%)</f>
        <v>104797.5</v>
      </c>
      <c r="R202" s="67">
        <v>45959</v>
      </c>
      <c r="S202" s="6" t="s">
        <v>74</v>
      </c>
      <c r="T202" s="10" t="s">
        <v>124</v>
      </c>
      <c r="U202" s="66">
        <f>N202-O202-Q202</f>
        <v>0</v>
      </c>
      <c r="V202" s="8"/>
      <c r="W202" s="7" t="str">
        <f>IF(U202=0,"No Due","Outstanding")</f>
        <v>No Due</v>
      </c>
      <c r="Z202" s="266">
        <v>73333</v>
      </c>
      <c r="AA202" s="41">
        <v>3750</v>
      </c>
      <c r="AB202" s="41">
        <v>0</v>
      </c>
      <c r="AC202" s="41">
        <v>200</v>
      </c>
      <c r="AD202" s="41">
        <v>0</v>
      </c>
      <c r="AE202" s="236">
        <f>SUM(Z202:AD202)</f>
        <v>77283</v>
      </c>
      <c r="AF202" s="239">
        <f>J202-AE202</f>
        <v>11717</v>
      </c>
      <c r="AG202" s="237">
        <f>AF202</f>
        <v>11717</v>
      </c>
      <c r="AH202" s="237"/>
      <c r="AI202" s="237"/>
    </row>
    <row r="203" spans="1:35" ht="30" hidden="1" customHeight="1" x14ac:dyDescent="0.3">
      <c r="A203" s="3">
        <f>A202+1</f>
        <v>202</v>
      </c>
      <c r="B203" s="309" t="s">
        <v>641</v>
      </c>
      <c r="C203" s="46">
        <v>45931</v>
      </c>
      <c r="D203" s="60" t="s">
        <v>33</v>
      </c>
      <c r="E203" s="310" t="s">
        <v>650</v>
      </c>
      <c r="F203" s="260" t="s">
        <v>37</v>
      </c>
      <c r="G203" s="261">
        <v>36</v>
      </c>
      <c r="H203" s="8" t="s">
        <v>38</v>
      </c>
      <c r="I203" s="24" t="s">
        <v>652</v>
      </c>
      <c r="J203" s="45">
        <f>158333+(190000*3)+109000</f>
        <v>837333</v>
      </c>
      <c r="K203" s="43">
        <f>ROUND(IF(G203=36,J203*9%,0),0)</f>
        <v>75360</v>
      </c>
      <c r="L203" s="40">
        <f>ROUND(IF(G203=36,J203*9%,0),0)</f>
        <v>75360</v>
      </c>
      <c r="M203" s="40">
        <f>ROUND(IF(G203=36,J203*0%,J203*18%),0)</f>
        <v>0</v>
      </c>
      <c r="N203" s="406">
        <f>J203+K203+L203+M203</f>
        <v>988053</v>
      </c>
      <c r="O203" s="21">
        <f>N203-Q203</f>
        <v>83733</v>
      </c>
      <c r="P203" s="9">
        <f>O203/J203</f>
        <v>9.99996417196026E-2</v>
      </c>
      <c r="Q203" s="23">
        <v>904320</v>
      </c>
      <c r="R203" s="67">
        <v>45994</v>
      </c>
      <c r="S203" s="6" t="s">
        <v>74</v>
      </c>
      <c r="T203" s="10" t="s">
        <v>124</v>
      </c>
      <c r="U203" s="66">
        <f>N203-O203-Q203</f>
        <v>0</v>
      </c>
      <c r="V203" s="8"/>
      <c r="W203" s="7" t="str">
        <f>IF(U203=0,"No Due","Outstanding")</f>
        <v>No Due</v>
      </c>
      <c r="Z203" s="266">
        <v>605364</v>
      </c>
      <c r="AA203" s="41">
        <v>18750</v>
      </c>
      <c r="AB203" s="41"/>
      <c r="AC203" s="41">
        <v>1000</v>
      </c>
      <c r="AD203" s="41">
        <v>78102</v>
      </c>
      <c r="AE203" s="236">
        <f>SUBTOTAL(9,Z203:AD203)</f>
        <v>0</v>
      </c>
      <c r="AF203" s="239">
        <f>J203-AE203</f>
        <v>837333</v>
      </c>
      <c r="AG203" s="237">
        <v>134117</v>
      </c>
      <c r="AH203" s="237"/>
      <c r="AI203" s="237"/>
    </row>
    <row r="204" spans="1:35" ht="30" hidden="1" customHeight="1" x14ac:dyDescent="0.3">
      <c r="A204" s="3">
        <f>A203+1</f>
        <v>203</v>
      </c>
      <c r="B204" s="309" t="s">
        <v>641</v>
      </c>
      <c r="C204" s="46">
        <v>45931</v>
      </c>
      <c r="D204" s="60" t="s">
        <v>33</v>
      </c>
      <c r="E204" s="310" t="s">
        <v>651</v>
      </c>
      <c r="F204" s="260" t="s">
        <v>37</v>
      </c>
      <c r="G204" s="261">
        <v>36</v>
      </c>
      <c r="H204" s="8" t="s">
        <v>38</v>
      </c>
      <c r="I204" s="24" t="s">
        <v>653</v>
      </c>
      <c r="J204" s="45">
        <f>(3000*2*3)</f>
        <v>18000</v>
      </c>
      <c r="K204" s="169">
        <f>ROUND(IF(G204=36,J204*9%,0),0)</f>
        <v>1620</v>
      </c>
      <c r="L204" s="40">
        <f>ROUND(IF(G204=36,J204*9%,0),0)</f>
        <v>1620</v>
      </c>
      <c r="M204" s="40">
        <f>ROUND(IF(G204=36,J204*0%,J204*18%),0)</f>
        <v>0</v>
      </c>
      <c r="N204" s="406">
        <f>J204+K204+L204+M204</f>
        <v>21240</v>
      </c>
      <c r="O204" s="21">
        <f>N204-Q204</f>
        <v>1800</v>
      </c>
      <c r="P204" s="9">
        <f>O204/J204</f>
        <v>0.1</v>
      </c>
      <c r="Q204" s="23">
        <v>19440</v>
      </c>
      <c r="R204" s="67">
        <v>45994</v>
      </c>
      <c r="S204" s="6" t="s">
        <v>74</v>
      </c>
      <c r="T204" s="10" t="s">
        <v>124</v>
      </c>
      <c r="U204" s="66">
        <f>N204-O204-Q204</f>
        <v>0</v>
      </c>
      <c r="V204" s="8"/>
      <c r="W204" s="7" t="str">
        <f>IF(U204=0,"No Due","Outstanding")</f>
        <v>No Due</v>
      </c>
      <c r="Z204" s="266">
        <v>0</v>
      </c>
      <c r="AA204" s="41">
        <v>0</v>
      </c>
      <c r="AB204" s="41">
        <v>0</v>
      </c>
      <c r="AC204" s="41">
        <v>0</v>
      </c>
      <c r="AD204" s="41">
        <v>0</v>
      </c>
      <c r="AE204" s="236">
        <f>SUBTOTAL(9,Z204:AD204)</f>
        <v>0</v>
      </c>
      <c r="AF204" s="239">
        <f>J204-AE204</f>
        <v>18000</v>
      </c>
      <c r="AG204" s="237">
        <v>18000</v>
      </c>
      <c r="AH204" s="237"/>
      <c r="AI204" s="237"/>
    </row>
    <row r="205" spans="1:35" ht="30" hidden="1" customHeight="1" x14ac:dyDescent="0.3">
      <c r="A205" s="3">
        <f>A204+1</f>
        <v>204</v>
      </c>
      <c r="B205" s="309" t="s">
        <v>641</v>
      </c>
      <c r="C205" s="46">
        <v>45931</v>
      </c>
      <c r="D205" s="130" t="s">
        <v>129</v>
      </c>
      <c r="E205" s="310" t="s">
        <v>654</v>
      </c>
      <c r="F205" s="130" t="s">
        <v>146</v>
      </c>
      <c r="G205" s="131">
        <v>36</v>
      </c>
      <c r="H205" s="8" t="s">
        <v>52</v>
      </c>
      <c r="I205" s="24" t="s">
        <v>656</v>
      </c>
      <c r="J205" s="45">
        <f>107*200</f>
        <v>21400</v>
      </c>
      <c r="K205" s="132">
        <f>ROUND(IF(G205=36,J205*9%,0),0)</f>
        <v>1926</v>
      </c>
      <c r="L205" s="40">
        <f>ROUND(IF(G205=36,J205*9%,0),0)</f>
        <v>1926</v>
      </c>
      <c r="M205" s="40">
        <f>ROUND(IF(G205=36,J205*0%,J205*18%),0)</f>
        <v>0</v>
      </c>
      <c r="N205" s="406">
        <f>J205+K205+L205+M205</f>
        <v>25252</v>
      </c>
      <c r="O205" s="21">
        <f>N205-Q205</f>
        <v>2140</v>
      </c>
      <c r="P205" s="9">
        <f>O205/J205</f>
        <v>0.1</v>
      </c>
      <c r="Q205" s="23">
        <v>23112</v>
      </c>
      <c r="R205" s="67">
        <v>45950</v>
      </c>
      <c r="S205" s="6" t="s">
        <v>74</v>
      </c>
      <c r="T205" s="10" t="s">
        <v>147</v>
      </c>
      <c r="U205" s="66">
        <f>N205-O205-Q205</f>
        <v>0</v>
      </c>
      <c r="V205" s="8"/>
      <c r="W205" s="7" t="str">
        <f>IF(U205=0,"No Due","Outstanding")</f>
        <v>No Due</v>
      </c>
      <c r="Z205" s="266">
        <v>0</v>
      </c>
      <c r="AA205" s="41">
        <v>0</v>
      </c>
      <c r="AB205" s="41">
        <v>0</v>
      </c>
      <c r="AC205" s="41">
        <v>0</v>
      </c>
      <c r="AD205" s="41">
        <v>0</v>
      </c>
      <c r="AE205" s="236">
        <f>SUM(Z205:AD205)</f>
        <v>0</v>
      </c>
      <c r="AF205" s="239">
        <f>J205-AE205</f>
        <v>21400</v>
      </c>
      <c r="AG205" s="237">
        <f>AF205</f>
        <v>21400</v>
      </c>
      <c r="AH205" s="237">
        <v>0</v>
      </c>
      <c r="AI205" s="237"/>
    </row>
    <row r="206" spans="1:35" ht="30" hidden="1" customHeight="1" x14ac:dyDescent="0.3">
      <c r="A206" s="3">
        <f>A205+1</f>
        <v>205</v>
      </c>
      <c r="B206" s="309" t="s">
        <v>641</v>
      </c>
      <c r="C206" s="46">
        <v>45931</v>
      </c>
      <c r="D206" s="130" t="s">
        <v>129</v>
      </c>
      <c r="E206" s="324" t="s">
        <v>655</v>
      </c>
      <c r="F206" s="130" t="s">
        <v>131</v>
      </c>
      <c r="G206" s="131">
        <v>36</v>
      </c>
      <c r="H206" s="8" t="s">
        <v>51</v>
      </c>
      <c r="I206" s="24" t="s">
        <v>656</v>
      </c>
      <c r="J206" s="45">
        <f>4*200</f>
        <v>800</v>
      </c>
      <c r="K206" s="132">
        <f>ROUND(IF(G206=36,J206*9%,0),0)</f>
        <v>72</v>
      </c>
      <c r="L206" s="40">
        <f>ROUND(IF(G206=36,J206*9%,0),0)</f>
        <v>72</v>
      </c>
      <c r="M206" s="40">
        <f>ROUND(IF(G206=36,J206*0%,J206*18%),0)</f>
        <v>0</v>
      </c>
      <c r="N206" s="406">
        <f>J206+K206+L206+M206</f>
        <v>944</v>
      </c>
      <c r="O206" s="21">
        <f>N206-Q206</f>
        <v>80</v>
      </c>
      <c r="P206" s="9">
        <f>O206/J206</f>
        <v>0.1</v>
      </c>
      <c r="Q206" s="23">
        <v>864</v>
      </c>
      <c r="R206" s="67">
        <v>45944</v>
      </c>
      <c r="S206" s="6" t="s">
        <v>74</v>
      </c>
      <c r="T206" s="10" t="s">
        <v>147</v>
      </c>
      <c r="U206" s="66">
        <f>N206-O206-Q206</f>
        <v>0</v>
      </c>
      <c r="V206" s="8"/>
      <c r="W206" s="7" t="str">
        <f>IF(U206=0,"No Due","Outstanding")</f>
        <v>No Due</v>
      </c>
      <c r="Z206" s="266">
        <v>0</v>
      </c>
      <c r="AA206" s="41">
        <v>0</v>
      </c>
      <c r="AB206" s="41">
        <v>0</v>
      </c>
      <c r="AC206" s="41">
        <v>0</v>
      </c>
      <c r="AD206" s="41">
        <v>0</v>
      </c>
      <c r="AE206" s="236">
        <f>SUM(Z206:AD206)</f>
        <v>0</v>
      </c>
      <c r="AF206" s="239">
        <f>J206-AE206</f>
        <v>800</v>
      </c>
      <c r="AG206" s="237">
        <f>AF206</f>
        <v>800</v>
      </c>
      <c r="AH206" s="237">
        <v>0</v>
      </c>
      <c r="AI206" s="237"/>
    </row>
    <row r="207" spans="1:35" ht="30" hidden="1" customHeight="1" x14ac:dyDescent="0.3">
      <c r="A207" s="3">
        <f>A206+1</f>
        <v>206</v>
      </c>
      <c r="B207" s="309" t="s">
        <v>641</v>
      </c>
      <c r="C207" s="46">
        <v>45934</v>
      </c>
      <c r="D207" s="164" t="s">
        <v>70</v>
      </c>
      <c r="E207" s="313" t="s">
        <v>658</v>
      </c>
      <c r="F207" s="260" t="s">
        <v>134</v>
      </c>
      <c r="G207" s="261">
        <v>10</v>
      </c>
      <c r="H207" s="8" t="s">
        <v>39</v>
      </c>
      <c r="I207" s="24" t="s">
        <v>661</v>
      </c>
      <c r="J207" s="45">
        <v>39001</v>
      </c>
      <c r="K207" s="166">
        <f>ROUND(IF(G207=36,J207*9%,0),0)</f>
        <v>0</v>
      </c>
      <c r="L207" s="40">
        <f>ROUND(IF(G207=36,J207*9%,0),0)</f>
        <v>0</v>
      </c>
      <c r="M207" s="40">
        <f>ROUND(IF(G207=36,J207*0%,J207*18%),0)</f>
        <v>7020</v>
      </c>
      <c r="N207" s="406">
        <f>J207+K207+L207+M207</f>
        <v>46021</v>
      </c>
      <c r="O207" s="21">
        <f>N207-Q207</f>
        <v>779.81999999999971</v>
      </c>
      <c r="P207" s="9">
        <f>O207/J207</f>
        <v>1.9994871926360853E-2</v>
      </c>
      <c r="Q207" s="23">
        <v>45241.18</v>
      </c>
      <c r="R207" s="67">
        <v>45959</v>
      </c>
      <c r="S207" s="6" t="s">
        <v>74</v>
      </c>
      <c r="T207" s="10" t="s">
        <v>136</v>
      </c>
      <c r="U207" s="66">
        <f>N207-O207-Q207</f>
        <v>0</v>
      </c>
      <c r="V207" s="8"/>
      <c r="W207" s="7" t="str">
        <f>IF(U207=0,"No Due","Outstanding")</f>
        <v>No Due</v>
      </c>
      <c r="Z207" s="266">
        <v>34201</v>
      </c>
      <c r="AA207" s="41">
        <v>3750</v>
      </c>
      <c r="AB207" s="41">
        <v>0</v>
      </c>
      <c r="AC207" s="41">
        <v>200</v>
      </c>
      <c r="AD207" s="41">
        <v>0</v>
      </c>
      <c r="AE207" s="236">
        <f>SUM(Z207:AD207)</f>
        <v>38151</v>
      </c>
      <c r="AF207" s="239">
        <f>J207-AE207</f>
        <v>850</v>
      </c>
      <c r="AG207" s="237">
        <f>AF207</f>
        <v>850</v>
      </c>
      <c r="AH207" s="237"/>
      <c r="AI207" s="237"/>
    </row>
    <row r="208" spans="1:35" ht="30" hidden="1" customHeight="1" x14ac:dyDescent="0.3">
      <c r="A208" s="3">
        <f>A207+1</f>
        <v>207</v>
      </c>
      <c r="B208" s="309" t="s">
        <v>641</v>
      </c>
      <c r="C208" s="46">
        <v>45934</v>
      </c>
      <c r="D208" s="164" t="s">
        <v>70</v>
      </c>
      <c r="E208" s="313" t="s">
        <v>659</v>
      </c>
      <c r="F208" s="260" t="s">
        <v>134</v>
      </c>
      <c r="G208" s="261">
        <v>10</v>
      </c>
      <c r="H208" s="8" t="s">
        <v>39</v>
      </c>
      <c r="I208" s="24" t="s">
        <v>661</v>
      </c>
      <c r="J208" s="45">
        <v>60709</v>
      </c>
      <c r="K208" s="166">
        <f>ROUND(IF(G208=36,J208*9%,0),0)</f>
        <v>0</v>
      </c>
      <c r="L208" s="40">
        <f>ROUND(IF(G208=36,J208*9%,0),0)</f>
        <v>0</v>
      </c>
      <c r="M208" s="40">
        <f>ROUND(IF(G208=36,J208*0%,J208*18%),0)</f>
        <v>10928</v>
      </c>
      <c r="N208" s="406">
        <f>J208+K208+L208+M208</f>
        <v>71637</v>
      </c>
      <c r="O208" s="21">
        <f>N208-Q208</f>
        <v>6071.3800000000047</v>
      </c>
      <c r="P208" s="9">
        <f>O208/J208</f>
        <v>0.10000790657068977</v>
      </c>
      <c r="Q208" s="23">
        <f>65565.62</f>
        <v>65565.62</v>
      </c>
      <c r="R208" s="67">
        <v>45959</v>
      </c>
      <c r="S208" s="6" t="s">
        <v>74</v>
      </c>
      <c r="T208" s="10" t="s">
        <v>136</v>
      </c>
      <c r="U208" s="66">
        <f>N208-O208-Q208</f>
        <v>0</v>
      </c>
      <c r="V208" s="8"/>
      <c r="W208" s="7" t="str">
        <f>IF(U208=0,"No Due","Outstanding")</f>
        <v>No Due</v>
      </c>
      <c r="Z208" s="266">
        <v>55909</v>
      </c>
      <c r="AA208" s="41">
        <v>3750</v>
      </c>
      <c r="AB208" s="41">
        <v>0</v>
      </c>
      <c r="AC208" s="41">
        <v>200</v>
      </c>
      <c r="AD208" s="41">
        <v>0</v>
      </c>
      <c r="AE208" s="236">
        <f>SUM(Z208:AD208)</f>
        <v>59859</v>
      </c>
      <c r="AF208" s="239">
        <f>J208-AE208</f>
        <v>850</v>
      </c>
      <c r="AG208" s="237">
        <f>AF208</f>
        <v>850</v>
      </c>
      <c r="AH208" s="237"/>
      <c r="AI208" s="237"/>
    </row>
    <row r="209" spans="1:35" ht="30" hidden="1" customHeight="1" x14ac:dyDescent="0.3">
      <c r="A209" s="3">
        <f>A208+1</f>
        <v>208</v>
      </c>
      <c r="B209" s="309" t="s">
        <v>641</v>
      </c>
      <c r="C209" s="46">
        <v>45934</v>
      </c>
      <c r="D209" s="123" t="s">
        <v>70</v>
      </c>
      <c r="E209" s="313" t="s">
        <v>660</v>
      </c>
      <c r="F209" s="260" t="s">
        <v>142</v>
      </c>
      <c r="G209" s="261">
        <v>24</v>
      </c>
      <c r="H209" s="8" t="s">
        <v>46</v>
      </c>
      <c r="I209" s="24" t="s">
        <v>662</v>
      </c>
      <c r="J209" s="45">
        <v>115700</v>
      </c>
      <c r="K209" s="125">
        <f>ROUND(IF(G209=36,J209*9%,0),0)</f>
        <v>0</v>
      </c>
      <c r="L209" s="40">
        <f>ROUND(IF(G209=36,J209*9%,0),0)</f>
        <v>0</v>
      </c>
      <c r="M209" s="40">
        <f>ROUND(IF(G209=36,J209*0%,J209*18%),0)</f>
        <v>20826</v>
      </c>
      <c r="N209" s="406">
        <f>J209+K209+L209+M209</f>
        <v>136526</v>
      </c>
      <c r="O209" s="21">
        <f>N209-Q209</f>
        <v>2279.8399999999965</v>
      </c>
      <c r="P209" s="9">
        <f>O209/J209</f>
        <v>1.9704753673292968E-2</v>
      </c>
      <c r="Q209" s="23">
        <v>134246.16</v>
      </c>
      <c r="R209" s="67">
        <v>45947</v>
      </c>
      <c r="S209" s="6" t="s">
        <v>74</v>
      </c>
      <c r="T209" s="10" t="s">
        <v>686</v>
      </c>
      <c r="U209" s="66">
        <f>N209-O209-Q209</f>
        <v>0</v>
      </c>
      <c r="V209" s="8"/>
      <c r="W209" s="7" t="str">
        <f>IF(U209=0,"No Due","Outstanding")</f>
        <v>No Due</v>
      </c>
      <c r="Z209" s="266">
        <v>106100</v>
      </c>
      <c r="AA209" s="41">
        <v>7500</v>
      </c>
      <c r="AB209" s="41">
        <v>0</v>
      </c>
      <c r="AC209" s="41">
        <v>400</v>
      </c>
      <c r="AD209" s="41">
        <v>0</v>
      </c>
      <c r="AE209" s="236">
        <f>SUM(Z209:AD209)</f>
        <v>114000</v>
      </c>
      <c r="AF209" s="239">
        <f>J209-AE209</f>
        <v>1700</v>
      </c>
      <c r="AG209" s="237">
        <f>AF209</f>
        <v>1700</v>
      </c>
      <c r="AH209" s="237"/>
      <c r="AI209" s="237"/>
    </row>
    <row r="210" spans="1:35" ht="30" hidden="1" customHeight="1" x14ac:dyDescent="0.3">
      <c r="A210" s="3">
        <f t="shared" ref="A66:A236" si="11">A209+1</f>
        <v>209</v>
      </c>
      <c r="B210" s="309" t="s">
        <v>641</v>
      </c>
      <c r="C210" s="46">
        <v>45936</v>
      </c>
      <c r="D210" s="164" t="s">
        <v>70</v>
      </c>
      <c r="E210" s="314" t="s">
        <v>663</v>
      </c>
      <c r="F210" s="306" t="s">
        <v>626</v>
      </c>
      <c r="G210" s="261">
        <v>24</v>
      </c>
      <c r="H210" s="8" t="s">
        <v>627</v>
      </c>
      <c r="I210" s="24" t="s">
        <v>664</v>
      </c>
      <c r="J210" s="45">
        <v>1307655</v>
      </c>
      <c r="K210" s="169">
        <f t="shared" ref="K202:K212" si="12">ROUND(IF(G210=36,J210*9%,0),0)</f>
        <v>0</v>
      </c>
      <c r="L210" s="40">
        <f t="shared" ref="L202:L212" si="13">ROUND(IF(G210=36,J210*9%,0),0)</f>
        <v>0</v>
      </c>
      <c r="M210" s="40">
        <f t="shared" ref="M202:M212" si="14">ROUND(IF(G210=36,J210*0%,J210*18%),0)</f>
        <v>235378</v>
      </c>
      <c r="N210" s="406">
        <f>J210+K210+L210+M210</f>
        <v>1543033</v>
      </c>
      <c r="O210" s="21">
        <f>J210*2%</f>
        <v>26153.100000000002</v>
      </c>
      <c r="P210" s="9">
        <f t="shared" ref="P210:P215" si="15">O210/J210</f>
        <v>0.02</v>
      </c>
      <c r="Q210" s="23">
        <v>1300000</v>
      </c>
      <c r="R210" s="67">
        <v>45975</v>
      </c>
      <c r="S210" s="6" t="s">
        <v>74</v>
      </c>
      <c r="T210" s="10" t="s">
        <v>147</v>
      </c>
      <c r="U210" s="66">
        <f>ROUND(N210-O210-Q210-216880,0)</f>
        <v>0</v>
      </c>
      <c r="V210" s="8"/>
      <c r="W210" s="7" t="str">
        <f t="shared" ref="W129:W236" si="16">IF(U210=0,"No Due","Outstanding")</f>
        <v>No Due</v>
      </c>
      <c r="Z210" s="266">
        <v>995832</v>
      </c>
      <c r="AA210" s="41">
        <v>166119</v>
      </c>
      <c r="AB210" s="41"/>
      <c r="AC210" s="41">
        <v>7600</v>
      </c>
      <c r="AD210" s="41">
        <v>75835</v>
      </c>
      <c r="AE210" s="236">
        <f t="shared" ref="AE205:AE223" si="17">SUM(Z210:AD210)</f>
        <v>1245386</v>
      </c>
      <c r="AF210" s="239">
        <f>J210-AE210</f>
        <v>62269</v>
      </c>
      <c r="AG210" s="237"/>
      <c r="AH210" s="237"/>
      <c r="AI210" s="237" t="s">
        <v>1003</v>
      </c>
    </row>
    <row r="211" spans="1:35" ht="30" hidden="1" customHeight="1" x14ac:dyDescent="0.3">
      <c r="A211" s="3">
        <f t="shared" si="11"/>
        <v>210</v>
      </c>
      <c r="B211" s="309" t="s">
        <v>641</v>
      </c>
      <c r="C211" s="46">
        <v>45940</v>
      </c>
      <c r="D211" s="167" t="s">
        <v>70</v>
      </c>
      <c r="E211" s="317" t="s">
        <v>667</v>
      </c>
      <c r="F211" s="260" t="s">
        <v>138</v>
      </c>
      <c r="G211" s="261">
        <v>36</v>
      </c>
      <c r="H211" s="8" t="s">
        <v>49</v>
      </c>
      <c r="I211" s="24" t="s">
        <v>670</v>
      </c>
      <c r="J211" s="45">
        <v>21373974</v>
      </c>
      <c r="K211" s="169">
        <f t="shared" si="12"/>
        <v>1923658</v>
      </c>
      <c r="L211" s="40">
        <f t="shared" si="13"/>
        <v>1923658</v>
      </c>
      <c r="M211" s="40">
        <f t="shared" si="14"/>
        <v>0</v>
      </c>
      <c r="N211" s="407">
        <f t="shared" ref="N202:N212" si="18">J211+K211+L211+M211</f>
        <v>25221290</v>
      </c>
      <c r="O211" s="21">
        <f>N211-Q211</f>
        <v>53435.679999999702</v>
      </c>
      <c r="P211" s="9">
        <f t="shared" si="15"/>
        <v>2.5000348554742183E-3</v>
      </c>
      <c r="Q211" s="23">
        <v>25167854.32</v>
      </c>
      <c r="R211" s="67">
        <v>45961</v>
      </c>
      <c r="S211" s="6" t="s">
        <v>74</v>
      </c>
      <c r="T211" s="10" t="s">
        <v>96</v>
      </c>
      <c r="U211" s="66">
        <f t="shared" ref="U194:U257" si="19">N211-O211-Q211</f>
        <v>0</v>
      </c>
      <c r="V211" s="8"/>
      <c r="W211" s="7" t="str">
        <f t="shared" si="16"/>
        <v>No Due</v>
      </c>
      <c r="Z211" s="266">
        <v>19345121</v>
      </c>
      <c r="AA211" s="41">
        <v>1682843</v>
      </c>
      <c r="AB211" s="41"/>
      <c r="AC211" s="41">
        <v>89200</v>
      </c>
      <c r="AD211" s="41">
        <v>6560</v>
      </c>
      <c r="AE211" s="236">
        <f t="shared" si="17"/>
        <v>21123724</v>
      </c>
      <c r="AF211" s="239">
        <f>J211-AE211</f>
        <v>250250</v>
      </c>
      <c r="AG211" s="237">
        <v>0</v>
      </c>
      <c r="AH211" s="237"/>
      <c r="AI211" s="237"/>
    </row>
    <row r="212" spans="1:35" ht="30" hidden="1" customHeight="1" x14ac:dyDescent="0.3">
      <c r="A212" s="3">
        <f t="shared" si="11"/>
        <v>211</v>
      </c>
      <c r="B212" s="309" t="s">
        <v>641</v>
      </c>
      <c r="C212" s="46">
        <v>45940</v>
      </c>
      <c r="D212" s="167" t="s">
        <v>70</v>
      </c>
      <c r="E212" s="317" t="s">
        <v>668</v>
      </c>
      <c r="F212" s="260" t="s">
        <v>138</v>
      </c>
      <c r="G212" s="261">
        <v>36</v>
      </c>
      <c r="H212" s="8" t="s">
        <v>49</v>
      </c>
      <c r="I212" s="24" t="s">
        <v>671</v>
      </c>
      <c r="J212" s="45">
        <v>372371</v>
      </c>
      <c r="K212" s="169">
        <f t="shared" si="12"/>
        <v>33513</v>
      </c>
      <c r="L212" s="40">
        <f t="shared" si="13"/>
        <v>33513</v>
      </c>
      <c r="M212" s="40">
        <f t="shared" si="14"/>
        <v>0</v>
      </c>
      <c r="N212" s="407">
        <f t="shared" si="18"/>
        <v>439397</v>
      </c>
      <c r="O212" s="21">
        <f>N212-Q212</f>
        <v>930.21999999997206</v>
      </c>
      <c r="P212" s="9">
        <f t="shared" si="15"/>
        <v>2.4981000131588443E-3</v>
      </c>
      <c r="Q212" s="23">
        <v>438466.78</v>
      </c>
      <c r="R212" s="67">
        <v>45961</v>
      </c>
      <c r="S212" s="6" t="s">
        <v>74</v>
      </c>
      <c r="T212" s="10" t="s">
        <v>96</v>
      </c>
      <c r="U212" s="66">
        <f t="shared" si="19"/>
        <v>0</v>
      </c>
      <c r="V212" s="8"/>
      <c r="W212" s="7" t="str">
        <f t="shared" si="16"/>
        <v>No Due</v>
      </c>
      <c r="Z212" s="266">
        <v>367421</v>
      </c>
      <c r="AA212" s="41">
        <v>0</v>
      </c>
      <c r="AB212" s="41">
        <v>0</v>
      </c>
      <c r="AC212" s="41">
        <v>0</v>
      </c>
      <c r="AD212" s="41">
        <v>0</v>
      </c>
      <c r="AE212" s="236">
        <f t="shared" si="17"/>
        <v>367421</v>
      </c>
      <c r="AF212" s="239">
        <f t="shared" ref="AF212:AF223" si="20">J212-AE212</f>
        <v>4950</v>
      </c>
      <c r="AG212" s="237">
        <f t="shared" ref="AG212:AG216" si="21">AF212</f>
        <v>4950</v>
      </c>
      <c r="AH212" s="237"/>
      <c r="AI212" s="237"/>
    </row>
    <row r="213" spans="1:35" ht="30" hidden="1" customHeight="1" x14ac:dyDescent="0.3">
      <c r="A213" s="3">
        <f t="shared" si="11"/>
        <v>212</v>
      </c>
      <c r="B213" s="309" t="s">
        <v>641</v>
      </c>
      <c r="C213" s="46">
        <v>45940</v>
      </c>
      <c r="D213" s="167" t="s">
        <v>70</v>
      </c>
      <c r="E213" s="317" t="s">
        <v>669</v>
      </c>
      <c r="F213" s="260" t="s">
        <v>138</v>
      </c>
      <c r="G213" s="261">
        <v>36</v>
      </c>
      <c r="H213" s="8" t="s">
        <v>49</v>
      </c>
      <c r="I213" s="24" t="s">
        <v>672</v>
      </c>
      <c r="J213" s="45">
        <v>805074</v>
      </c>
      <c r="K213" s="169">
        <f>ROUND(IF(G213=36,J213*9%,0),0)</f>
        <v>72457</v>
      </c>
      <c r="L213" s="40">
        <f>ROUND(IF(G213=36,J213*9%,0),0)</f>
        <v>72457</v>
      </c>
      <c r="M213" s="40">
        <f>ROUND(IF(G213=36,J213*0%,J213*18%),0)</f>
        <v>0</v>
      </c>
      <c r="N213" s="407">
        <f>J213+K213+L213+M213</f>
        <v>949988</v>
      </c>
      <c r="O213" s="21">
        <f>N213-Q213</f>
        <v>2013.6800000000512</v>
      </c>
      <c r="P213" s="9">
        <f t="shared" si="15"/>
        <v>2.5012359112330683E-3</v>
      </c>
      <c r="Q213" s="23">
        <v>947974.32</v>
      </c>
      <c r="R213" s="67">
        <v>45961</v>
      </c>
      <c r="S213" s="6" t="s">
        <v>74</v>
      </c>
      <c r="T213" s="10" t="s">
        <v>96</v>
      </c>
      <c r="U213" s="66">
        <f t="shared" si="19"/>
        <v>0</v>
      </c>
      <c r="V213" s="8"/>
      <c r="W213" s="7" t="str">
        <f t="shared" si="16"/>
        <v>No Due</v>
      </c>
      <c r="Z213" s="266">
        <v>756674</v>
      </c>
      <c r="AA213" s="41">
        <v>0</v>
      </c>
      <c r="AB213" s="41">
        <v>0</v>
      </c>
      <c r="AC213" s="41">
        <v>0</v>
      </c>
      <c r="AD213" s="41">
        <v>0</v>
      </c>
      <c r="AE213" s="236">
        <f t="shared" si="17"/>
        <v>756674</v>
      </c>
      <c r="AF213" s="239">
        <f t="shared" si="20"/>
        <v>48400</v>
      </c>
      <c r="AG213" s="237">
        <f t="shared" si="21"/>
        <v>48400</v>
      </c>
      <c r="AH213" s="237"/>
      <c r="AI213" s="237"/>
    </row>
    <row r="214" spans="1:35" ht="30" hidden="1" customHeight="1" x14ac:dyDescent="0.3">
      <c r="A214" s="3">
        <f t="shared" si="11"/>
        <v>213</v>
      </c>
      <c r="B214" s="309" t="s">
        <v>641</v>
      </c>
      <c r="C214" s="46">
        <v>45940</v>
      </c>
      <c r="D214" s="167" t="s">
        <v>70</v>
      </c>
      <c r="E214" s="317" t="s">
        <v>673</v>
      </c>
      <c r="F214" s="167" t="s">
        <v>138</v>
      </c>
      <c r="G214" s="168">
        <v>36</v>
      </c>
      <c r="H214" s="8" t="s">
        <v>49</v>
      </c>
      <c r="I214" s="24" t="s">
        <v>674</v>
      </c>
      <c r="J214" s="39">
        <v>835416</v>
      </c>
      <c r="K214" s="169">
        <f t="shared" ref="K214" si="22">ROUND(IF(G214=36,J214*9%,0),0)</f>
        <v>75187</v>
      </c>
      <c r="L214" s="40">
        <f t="shared" ref="L214" si="23">ROUND(IF(G214=36,J214*9%,0),0)</f>
        <v>75187</v>
      </c>
      <c r="M214" s="40">
        <f t="shared" ref="M214" si="24">ROUND(IF(G214=36,J214*0%,J214*18%),0)</f>
        <v>0</v>
      </c>
      <c r="N214" s="407">
        <f t="shared" ref="N214" si="25">J214+K214+L214+M214</f>
        <v>985790</v>
      </c>
      <c r="O214" s="21">
        <f>N214-Q214</f>
        <v>2088.1199999999953</v>
      </c>
      <c r="P214" s="9">
        <f t="shared" si="15"/>
        <v>2.4994972564566578E-3</v>
      </c>
      <c r="Q214" s="23">
        <v>983701.88</v>
      </c>
      <c r="R214" s="67">
        <v>45961</v>
      </c>
      <c r="S214" s="6" t="s">
        <v>74</v>
      </c>
      <c r="T214" s="10" t="s">
        <v>96</v>
      </c>
      <c r="U214" s="66">
        <f t="shared" si="19"/>
        <v>0</v>
      </c>
      <c r="V214" s="8"/>
      <c r="W214" s="7" t="str">
        <f t="shared" si="16"/>
        <v>No Due</v>
      </c>
      <c r="Z214" s="266">
        <v>803516</v>
      </c>
      <c r="AA214" s="41">
        <v>0</v>
      </c>
      <c r="AB214" s="41">
        <v>0</v>
      </c>
      <c r="AC214" s="41">
        <v>0</v>
      </c>
      <c r="AD214" s="41">
        <v>0</v>
      </c>
      <c r="AE214" s="236">
        <f t="shared" si="17"/>
        <v>803516</v>
      </c>
      <c r="AF214" s="239">
        <f t="shared" si="20"/>
        <v>31900</v>
      </c>
      <c r="AG214" s="237">
        <f t="shared" si="21"/>
        <v>31900</v>
      </c>
      <c r="AH214" s="237"/>
      <c r="AI214" s="237"/>
    </row>
    <row r="215" spans="1:35" ht="30" hidden="1" customHeight="1" x14ac:dyDescent="0.3">
      <c r="A215" s="3">
        <f t="shared" si="11"/>
        <v>214</v>
      </c>
      <c r="B215" s="309" t="s">
        <v>641</v>
      </c>
      <c r="C215" s="46">
        <v>45952</v>
      </c>
      <c r="D215" s="130" t="s">
        <v>129</v>
      </c>
      <c r="E215" s="321" t="s">
        <v>687</v>
      </c>
      <c r="F215" s="130" t="s">
        <v>146</v>
      </c>
      <c r="G215" s="131">
        <v>36</v>
      </c>
      <c r="H215" s="8" t="s">
        <v>52</v>
      </c>
      <c r="I215" s="24" t="s">
        <v>689</v>
      </c>
      <c r="J215" s="45">
        <f>96*200</f>
        <v>19200</v>
      </c>
      <c r="K215" s="169">
        <f t="shared" ref="K215" si="26">ROUND(IF(G215=36,J215*9%,0),0)</f>
        <v>1728</v>
      </c>
      <c r="L215" s="40">
        <f t="shared" ref="L215" si="27">ROUND(IF(G215=36,J215*9%,0),0)</f>
        <v>1728</v>
      </c>
      <c r="M215" s="40">
        <f t="shared" ref="M215" si="28">ROUND(IF(G215=36,J215*0%,J215*18%),0)</f>
        <v>0</v>
      </c>
      <c r="N215" s="406">
        <f t="shared" ref="N215" si="29">J215+K215+L215+M215</f>
        <v>22656</v>
      </c>
      <c r="O215" s="21">
        <v>1920</v>
      </c>
      <c r="P215" s="9">
        <f t="shared" si="15"/>
        <v>0.1</v>
      </c>
      <c r="Q215" s="23">
        <v>20736</v>
      </c>
      <c r="R215" s="67">
        <v>46009</v>
      </c>
      <c r="S215" s="6" t="s">
        <v>74</v>
      </c>
      <c r="T215" s="10" t="s">
        <v>147</v>
      </c>
      <c r="U215" s="66">
        <f t="shared" si="19"/>
        <v>0</v>
      </c>
      <c r="V215" s="8"/>
      <c r="W215" s="7" t="str">
        <f t="shared" si="16"/>
        <v>No Due</v>
      </c>
      <c r="Z215" s="266">
        <v>0</v>
      </c>
      <c r="AA215" s="41">
        <v>0</v>
      </c>
      <c r="AB215" s="41">
        <v>0</v>
      </c>
      <c r="AC215" s="41">
        <v>0</v>
      </c>
      <c r="AD215" s="41">
        <v>0</v>
      </c>
      <c r="AE215" s="236">
        <f t="shared" si="17"/>
        <v>0</v>
      </c>
      <c r="AF215" s="239">
        <f t="shared" si="20"/>
        <v>19200</v>
      </c>
      <c r="AG215" s="237">
        <f t="shared" si="21"/>
        <v>19200</v>
      </c>
      <c r="AH215" s="237">
        <v>0</v>
      </c>
      <c r="AI215" s="237"/>
    </row>
    <row r="216" spans="1:35" ht="30" hidden="1" customHeight="1" x14ac:dyDescent="0.3">
      <c r="A216" s="3">
        <f t="shared" si="11"/>
        <v>215</v>
      </c>
      <c r="B216" s="309" t="s">
        <v>641</v>
      </c>
      <c r="C216" s="46">
        <v>45952</v>
      </c>
      <c r="D216" s="130" t="s">
        <v>129</v>
      </c>
      <c r="E216" s="374" t="s">
        <v>688</v>
      </c>
      <c r="F216" s="130" t="s">
        <v>131</v>
      </c>
      <c r="G216" s="131">
        <v>36</v>
      </c>
      <c r="H216" s="8" t="s">
        <v>51</v>
      </c>
      <c r="I216" s="24" t="s">
        <v>689</v>
      </c>
      <c r="J216" s="45">
        <f>3*200</f>
        <v>600</v>
      </c>
      <c r="K216" s="169">
        <f t="shared" ref="K216:K217" si="30">ROUND(IF(G216=36,J216*9%,0),0)</f>
        <v>54</v>
      </c>
      <c r="L216" s="40">
        <f t="shared" ref="L216:L217" si="31">ROUND(IF(G216=36,J216*9%,0),0)</f>
        <v>54</v>
      </c>
      <c r="M216" s="40">
        <f t="shared" ref="M216:M217" si="32">ROUND(IF(G216=36,J216*0%,J216*18%),0)</f>
        <v>0</v>
      </c>
      <c r="N216" s="406">
        <f t="shared" ref="N216:N230" si="33">J216+K216+L216+M216</f>
        <v>708</v>
      </c>
      <c r="O216" s="21">
        <f t="shared" ref="O216" si="34">N216-Q216</f>
        <v>60</v>
      </c>
      <c r="P216" s="9">
        <f t="shared" ref="P216" si="35">O216/J216</f>
        <v>0.1</v>
      </c>
      <c r="Q216" s="23">
        <v>648</v>
      </c>
      <c r="R216" s="67">
        <v>45980</v>
      </c>
      <c r="S216" s="6" t="s">
        <v>74</v>
      </c>
      <c r="T216" s="10" t="s">
        <v>147</v>
      </c>
      <c r="U216" s="66">
        <f t="shared" si="19"/>
        <v>0</v>
      </c>
      <c r="V216" s="8"/>
      <c r="W216" s="7" t="str">
        <f t="shared" si="16"/>
        <v>No Due</v>
      </c>
      <c r="Z216" s="266">
        <v>0</v>
      </c>
      <c r="AA216" s="41">
        <v>0</v>
      </c>
      <c r="AB216" s="41">
        <v>0</v>
      </c>
      <c r="AC216" s="41">
        <v>0</v>
      </c>
      <c r="AD216" s="41">
        <v>0</v>
      </c>
      <c r="AE216" s="236">
        <f t="shared" si="17"/>
        <v>0</v>
      </c>
      <c r="AF216" s="239">
        <f t="shared" si="20"/>
        <v>600</v>
      </c>
      <c r="AG216" s="237">
        <f t="shared" si="21"/>
        <v>600</v>
      </c>
      <c r="AH216" s="237">
        <v>0</v>
      </c>
      <c r="AI216" s="237"/>
    </row>
    <row r="217" spans="1:35" ht="30" hidden="1" customHeight="1" x14ac:dyDescent="0.3">
      <c r="A217" s="3">
        <f t="shared" si="11"/>
        <v>216</v>
      </c>
      <c r="B217" s="309" t="s">
        <v>641</v>
      </c>
      <c r="C217" s="46">
        <v>45958</v>
      </c>
      <c r="D217" s="75" t="s">
        <v>70</v>
      </c>
      <c r="E217" s="323" t="s">
        <v>690</v>
      </c>
      <c r="F217" s="260" t="s">
        <v>126</v>
      </c>
      <c r="G217" s="261">
        <v>24</v>
      </c>
      <c r="H217" s="8" t="s">
        <v>125</v>
      </c>
      <c r="I217" s="24" t="s">
        <v>691</v>
      </c>
      <c r="J217" s="45">
        <v>12753409.225806452</v>
      </c>
      <c r="K217" s="43">
        <f t="shared" si="30"/>
        <v>0</v>
      </c>
      <c r="L217" s="40">
        <f t="shared" si="31"/>
        <v>0</v>
      </c>
      <c r="M217" s="40">
        <f t="shared" si="32"/>
        <v>2295614</v>
      </c>
      <c r="N217" s="406">
        <f t="shared" si="33"/>
        <v>15049023.225806452</v>
      </c>
      <c r="O217" s="21">
        <f>N217-Q217</f>
        <v>31884.335806451738</v>
      </c>
      <c r="P217" s="9">
        <f>O217/J217</f>
        <v>2.5000637274254448E-3</v>
      </c>
      <c r="Q217" s="23">
        <f>15017138.89</f>
        <v>15017138.890000001</v>
      </c>
      <c r="R217" s="67">
        <v>45961</v>
      </c>
      <c r="S217" s="6" t="s">
        <v>74</v>
      </c>
      <c r="T217" s="10" t="s">
        <v>569</v>
      </c>
      <c r="U217" s="66">
        <f t="shared" si="19"/>
        <v>0</v>
      </c>
      <c r="V217" s="8"/>
      <c r="W217" s="7" t="str">
        <f t="shared" si="16"/>
        <v>No Due</v>
      </c>
      <c r="Z217" s="266">
        <v>10853077</v>
      </c>
      <c r="AA217" s="41">
        <v>1438332</v>
      </c>
      <c r="AB217" s="41"/>
      <c r="AC217" s="41">
        <v>75800</v>
      </c>
      <c r="AD217" s="41"/>
      <c r="AE217" s="236">
        <f t="shared" si="17"/>
        <v>12367209</v>
      </c>
      <c r="AF217" s="239">
        <f t="shared" si="20"/>
        <v>386200.22580645233</v>
      </c>
      <c r="AG217" s="237">
        <f>AF217-26000</f>
        <v>360200.22580645233</v>
      </c>
      <c r="AH217" s="237">
        <v>26000</v>
      </c>
      <c r="AI217" s="237"/>
    </row>
    <row r="218" spans="1:35" ht="30" customHeight="1" x14ac:dyDescent="0.3">
      <c r="A218" s="3">
        <f t="shared" si="11"/>
        <v>217</v>
      </c>
      <c r="B218" s="309" t="s">
        <v>641</v>
      </c>
      <c r="C218" s="46">
        <v>45959</v>
      </c>
      <c r="D218" s="146" t="s">
        <v>288</v>
      </c>
      <c r="E218" s="325" t="s">
        <v>692</v>
      </c>
      <c r="F218" s="146" t="s">
        <v>289</v>
      </c>
      <c r="G218" s="147">
        <v>36</v>
      </c>
      <c r="H218" s="8" t="s">
        <v>287</v>
      </c>
      <c r="I218" s="24" t="s">
        <v>695</v>
      </c>
      <c r="J218" s="162">
        <v>375360.77</v>
      </c>
      <c r="K218" s="43">
        <f t="shared" ref="K218" si="36">ROUND(IF(G218=36,J218*9%,0),0)</f>
        <v>33782</v>
      </c>
      <c r="L218" s="40">
        <f t="shared" ref="L218" si="37">ROUND(IF(G218=36,J218*9%,0),0)</f>
        <v>33782</v>
      </c>
      <c r="M218" s="40">
        <f t="shared" ref="M218" si="38">ROUND(IF(G218=36,J218*0%,J218*18%),0)</f>
        <v>0</v>
      </c>
      <c r="N218" s="406">
        <f t="shared" si="33"/>
        <v>442924.77</v>
      </c>
      <c r="O218" s="21">
        <f>N218-Q218</f>
        <v>938.40192500001285</v>
      </c>
      <c r="P218" s="9">
        <f>O218/J218</f>
        <v>2.5000000000000343E-3</v>
      </c>
      <c r="Q218" s="23">
        <f>N218-(J218*0.25%)</f>
        <v>441986.36807500001</v>
      </c>
      <c r="R218" s="67">
        <v>45968</v>
      </c>
      <c r="S218" s="6" t="s">
        <v>74</v>
      </c>
      <c r="T218" s="10" t="s">
        <v>322</v>
      </c>
      <c r="U218" s="66">
        <f t="shared" si="19"/>
        <v>0</v>
      </c>
      <c r="V218" s="8"/>
      <c r="W218" s="7" t="str">
        <f t="shared" si="16"/>
        <v>No Due</v>
      </c>
      <c r="Z218" s="266">
        <f>269439-14428</f>
        <v>255011</v>
      </c>
      <c r="AA218" s="41">
        <f>69393-1950-1800</f>
        <v>65643</v>
      </c>
      <c r="AB218" s="41">
        <f>12226-526-121</f>
        <v>11579</v>
      </c>
      <c r="AC218" s="41">
        <f>1050-150</f>
        <v>900</v>
      </c>
      <c r="AD218" s="41"/>
      <c r="AE218" s="236">
        <f t="shared" si="17"/>
        <v>333133</v>
      </c>
      <c r="AF218" s="239">
        <f t="shared" si="20"/>
        <v>42227.770000000019</v>
      </c>
      <c r="AG218" s="237">
        <f t="shared" ref="AG218:AG223" si="39">AF218</f>
        <v>42227.770000000019</v>
      </c>
      <c r="AH218" s="237"/>
      <c r="AI218" s="237"/>
    </row>
    <row r="219" spans="1:35" ht="30" customHeight="1" x14ac:dyDescent="0.3">
      <c r="A219" s="3">
        <f t="shared" si="11"/>
        <v>218</v>
      </c>
      <c r="B219" s="309" t="s">
        <v>641</v>
      </c>
      <c r="C219" s="46">
        <v>45959</v>
      </c>
      <c r="D219" s="146" t="s">
        <v>288</v>
      </c>
      <c r="E219" s="325" t="s">
        <v>693</v>
      </c>
      <c r="F219" s="146" t="s">
        <v>289</v>
      </c>
      <c r="G219" s="147">
        <v>36</v>
      </c>
      <c r="H219" s="8" t="s">
        <v>287</v>
      </c>
      <c r="I219" s="24" t="s">
        <v>696</v>
      </c>
      <c r="J219" s="162">
        <v>94770.66</v>
      </c>
      <c r="K219" s="43">
        <f t="shared" ref="K219" si="40">ROUND(IF(G219=36,J219*9%,0),0)</f>
        <v>8529</v>
      </c>
      <c r="L219" s="40">
        <f t="shared" ref="L219" si="41">ROUND(IF(G219=36,J219*9%,0),0)</f>
        <v>8529</v>
      </c>
      <c r="M219" s="40">
        <f t="shared" ref="M219:M230" si="42">ROUND(IF(G219=36,J219*0%,J219*18%),0)</f>
        <v>0</v>
      </c>
      <c r="N219" s="406">
        <f t="shared" si="33"/>
        <v>111828.66</v>
      </c>
      <c r="O219" s="21">
        <f>N219-Q219</f>
        <v>236.92664999999397</v>
      </c>
      <c r="P219" s="9">
        <f>O219/J219</f>
        <v>2.4999999999999363E-3</v>
      </c>
      <c r="Q219" s="23">
        <f>N219-(J219*0.25%)</f>
        <v>111591.73335000001</v>
      </c>
      <c r="R219" s="67">
        <v>45968</v>
      </c>
      <c r="S219" s="6" t="s">
        <v>74</v>
      </c>
      <c r="T219" s="10" t="s">
        <v>322</v>
      </c>
      <c r="U219" s="66">
        <f t="shared" si="19"/>
        <v>0</v>
      </c>
      <c r="V219" s="8"/>
      <c r="W219" s="7" t="str">
        <f t="shared" si="16"/>
        <v>No Due</v>
      </c>
      <c r="Z219" s="266">
        <v>85434</v>
      </c>
      <c r="AA219" s="41">
        <v>0</v>
      </c>
      <c r="AB219" s="41">
        <v>0</v>
      </c>
      <c r="AC219" s="41">
        <v>0</v>
      </c>
      <c r="AD219" s="41">
        <v>0</v>
      </c>
      <c r="AE219" s="236">
        <f t="shared" si="17"/>
        <v>85434</v>
      </c>
      <c r="AF219" s="239">
        <f t="shared" si="20"/>
        <v>9336.6600000000035</v>
      </c>
      <c r="AG219" s="237">
        <f t="shared" si="39"/>
        <v>9336.6600000000035</v>
      </c>
      <c r="AH219" s="237"/>
      <c r="AI219" s="237"/>
    </row>
    <row r="220" spans="1:35" ht="30" customHeight="1" x14ac:dyDescent="0.3">
      <c r="A220" s="3">
        <f t="shared" si="11"/>
        <v>219</v>
      </c>
      <c r="B220" s="309" t="s">
        <v>641</v>
      </c>
      <c r="C220" s="46">
        <v>45959</v>
      </c>
      <c r="D220" s="146" t="s">
        <v>288</v>
      </c>
      <c r="E220" s="325" t="s">
        <v>694</v>
      </c>
      <c r="F220" s="146" t="s">
        <v>289</v>
      </c>
      <c r="G220" s="147">
        <v>36</v>
      </c>
      <c r="H220" s="8" t="s">
        <v>287</v>
      </c>
      <c r="I220" s="24" t="s">
        <v>695</v>
      </c>
      <c r="J220" s="162">
        <v>133577.19</v>
      </c>
      <c r="K220" s="43">
        <f t="shared" ref="K220:K230" si="43">ROUND(IF(G220=36,J220*9%,0),0)</f>
        <v>12022</v>
      </c>
      <c r="L220" s="40">
        <f t="shared" ref="L220:L230" si="44">ROUND(IF(G220=36,J220*9%,0),0)</f>
        <v>12022</v>
      </c>
      <c r="M220" s="40">
        <f t="shared" si="42"/>
        <v>0</v>
      </c>
      <c r="N220" s="406">
        <f t="shared" si="33"/>
        <v>157621.19</v>
      </c>
      <c r="O220" s="21">
        <f>N220-Q220</f>
        <v>333.94297500001267</v>
      </c>
      <c r="P220" s="9">
        <f>O220/J220</f>
        <v>2.5000000000000946E-3</v>
      </c>
      <c r="Q220" s="23">
        <f>N220-(J220*0.25%)</f>
        <v>157287.24702499999</v>
      </c>
      <c r="R220" s="67">
        <v>45968</v>
      </c>
      <c r="S220" s="6" t="s">
        <v>74</v>
      </c>
      <c r="T220" s="10" t="s">
        <v>322</v>
      </c>
      <c r="U220" s="66">
        <f t="shared" si="19"/>
        <v>0</v>
      </c>
      <c r="V220" s="8"/>
      <c r="W220" s="7" t="str">
        <f t="shared" si="16"/>
        <v>No Due</v>
      </c>
      <c r="Z220" s="266">
        <v>96010</v>
      </c>
      <c r="AA220" s="41">
        <v>23976</v>
      </c>
      <c r="AB220" s="41">
        <v>4344</v>
      </c>
      <c r="AC220" s="41">
        <v>750</v>
      </c>
      <c r="AD220" s="41">
        <v>0</v>
      </c>
      <c r="AE220" s="236">
        <f t="shared" si="17"/>
        <v>125080</v>
      </c>
      <c r="AF220" s="239">
        <f t="shared" si="20"/>
        <v>8497.1900000000023</v>
      </c>
      <c r="AG220" s="237">
        <f t="shared" si="39"/>
        <v>8497.1900000000023</v>
      </c>
      <c r="AH220" s="237"/>
      <c r="AI220" s="237"/>
    </row>
    <row r="221" spans="1:35" ht="30" hidden="1" customHeight="1" x14ac:dyDescent="0.3">
      <c r="A221" s="3">
        <f>A220+1</f>
        <v>220</v>
      </c>
      <c r="B221" s="327" t="s">
        <v>697</v>
      </c>
      <c r="C221" s="46">
        <v>45966</v>
      </c>
      <c r="D221" s="46" t="s">
        <v>33</v>
      </c>
      <c r="E221" s="376" t="s">
        <v>698</v>
      </c>
      <c r="F221" s="260" t="s">
        <v>34</v>
      </c>
      <c r="G221" s="147">
        <v>36</v>
      </c>
      <c r="H221" s="8" t="s">
        <v>55</v>
      </c>
      <c r="I221" s="24" t="s">
        <v>701</v>
      </c>
      <c r="J221" s="45">
        <f>(72050*23)+(53350*1)+(99751*8)</f>
        <v>2508508</v>
      </c>
      <c r="K221" s="148">
        <f t="shared" si="43"/>
        <v>225766</v>
      </c>
      <c r="L221" s="40">
        <f t="shared" si="44"/>
        <v>225766</v>
      </c>
      <c r="M221" s="40">
        <f t="shared" si="42"/>
        <v>0</v>
      </c>
      <c r="N221" s="406">
        <f t="shared" si="33"/>
        <v>2960040</v>
      </c>
      <c r="O221" s="21">
        <f>J221*0.25%</f>
        <v>6271.27</v>
      </c>
      <c r="P221" s="9">
        <f t="shared" ref="P221:P223" si="45">O221/J221</f>
        <v>2.5000000000000001E-3</v>
      </c>
      <c r="Q221" s="23">
        <f>N221-O221</f>
        <v>2953768.73</v>
      </c>
      <c r="R221" s="67">
        <v>45664</v>
      </c>
      <c r="S221" s="6" t="s">
        <v>74</v>
      </c>
      <c r="T221" s="10" t="s">
        <v>124</v>
      </c>
      <c r="U221" s="66">
        <f t="shared" si="19"/>
        <v>0</v>
      </c>
      <c r="V221" s="8"/>
      <c r="W221" s="7" t="str">
        <f t="shared" si="16"/>
        <v>No Due</v>
      </c>
      <c r="Z221" s="266">
        <v>1811571</v>
      </c>
      <c r="AA221" s="41">
        <v>119567</v>
      </c>
      <c r="AB221" s="41"/>
      <c r="AC221" s="41">
        <v>6400</v>
      </c>
      <c r="AD221" s="41"/>
      <c r="AE221" s="236">
        <f t="shared" si="17"/>
        <v>1937538</v>
      </c>
      <c r="AF221" s="239">
        <f t="shared" si="20"/>
        <v>570970</v>
      </c>
      <c r="AG221" s="237">
        <f t="shared" si="39"/>
        <v>570970</v>
      </c>
      <c r="AH221" s="237"/>
      <c r="AI221" s="237"/>
    </row>
    <row r="222" spans="1:35" ht="30" hidden="1" customHeight="1" x14ac:dyDescent="0.3">
      <c r="A222" s="3">
        <f t="shared" si="11"/>
        <v>221</v>
      </c>
      <c r="B222" s="327" t="s">
        <v>697</v>
      </c>
      <c r="C222" s="46">
        <v>45966</v>
      </c>
      <c r="D222" s="46" t="s">
        <v>33</v>
      </c>
      <c r="E222" s="328" t="s">
        <v>699</v>
      </c>
      <c r="F222" s="260" t="s">
        <v>34</v>
      </c>
      <c r="G222" s="147">
        <v>36</v>
      </c>
      <c r="H222" s="8" t="s">
        <v>55</v>
      </c>
      <c r="I222" s="24" t="s">
        <v>702</v>
      </c>
      <c r="J222" s="162">
        <v>18099</v>
      </c>
      <c r="K222" s="148">
        <f t="shared" si="43"/>
        <v>1629</v>
      </c>
      <c r="L222" s="40">
        <f t="shared" si="44"/>
        <v>1629</v>
      </c>
      <c r="M222" s="40">
        <f t="shared" si="42"/>
        <v>0</v>
      </c>
      <c r="N222" s="406">
        <f t="shared" si="33"/>
        <v>21357</v>
      </c>
      <c r="O222" s="21">
        <f>J222*0.25%</f>
        <v>45.247500000000002</v>
      </c>
      <c r="P222" s="9">
        <f t="shared" si="45"/>
        <v>2.5000000000000001E-3</v>
      </c>
      <c r="Q222" s="23">
        <f>N222-O222</f>
        <v>21311.752499999999</v>
      </c>
      <c r="R222" s="67">
        <v>45664</v>
      </c>
      <c r="S222" s="6" t="s">
        <v>74</v>
      </c>
      <c r="T222" s="10" t="s">
        <v>124</v>
      </c>
      <c r="U222" s="66">
        <f t="shared" si="19"/>
        <v>0</v>
      </c>
      <c r="V222" s="8"/>
      <c r="W222" s="7" t="str">
        <f t="shared" ref="W222:W225" si="46">IF(U222=0,"No Due","Outstanding")</f>
        <v>No Due</v>
      </c>
      <c r="Z222" s="266">
        <v>0</v>
      </c>
      <c r="AA222" s="41"/>
      <c r="AB222" s="41"/>
      <c r="AC222" s="41"/>
      <c r="AD222" s="41"/>
      <c r="AE222" s="236">
        <f t="shared" si="17"/>
        <v>0</v>
      </c>
      <c r="AF222" s="239">
        <f t="shared" si="20"/>
        <v>18099</v>
      </c>
      <c r="AG222" s="237">
        <f t="shared" si="39"/>
        <v>18099</v>
      </c>
      <c r="AH222" s="237"/>
      <c r="AI222" s="237"/>
    </row>
    <row r="223" spans="1:35" ht="30" hidden="1" customHeight="1" x14ac:dyDescent="0.3">
      <c r="A223" s="3">
        <f t="shared" si="11"/>
        <v>222</v>
      </c>
      <c r="B223" s="327" t="s">
        <v>697</v>
      </c>
      <c r="C223" s="46">
        <v>45966</v>
      </c>
      <c r="D223" s="46" t="s">
        <v>33</v>
      </c>
      <c r="E223" s="328" t="s">
        <v>700</v>
      </c>
      <c r="F223" s="260" t="s">
        <v>34</v>
      </c>
      <c r="G223" s="261">
        <v>36</v>
      </c>
      <c r="H223" s="8" t="s">
        <v>55</v>
      </c>
      <c r="I223" s="24" t="s">
        <v>703</v>
      </c>
      <c r="J223" s="162">
        <v>89000</v>
      </c>
      <c r="K223" s="148">
        <f t="shared" si="43"/>
        <v>8010</v>
      </c>
      <c r="L223" s="40">
        <f t="shared" si="44"/>
        <v>8010</v>
      </c>
      <c r="M223" s="40">
        <f t="shared" si="42"/>
        <v>0</v>
      </c>
      <c r="N223" s="406">
        <f t="shared" si="33"/>
        <v>105020</v>
      </c>
      <c r="O223" s="21">
        <f>J223*0.25%</f>
        <v>222.5</v>
      </c>
      <c r="P223" s="9">
        <f t="shared" si="45"/>
        <v>2.5000000000000001E-3</v>
      </c>
      <c r="Q223" s="23">
        <f>N223-O223</f>
        <v>104797.5</v>
      </c>
      <c r="R223" s="67">
        <v>45664</v>
      </c>
      <c r="S223" s="6" t="s">
        <v>74</v>
      </c>
      <c r="T223" s="10" t="s">
        <v>124</v>
      </c>
      <c r="U223" s="66">
        <f t="shared" si="19"/>
        <v>0</v>
      </c>
      <c r="V223" s="8"/>
      <c r="W223" s="7" t="str">
        <f t="shared" si="46"/>
        <v>No Due</v>
      </c>
      <c r="Z223" s="266">
        <v>73333</v>
      </c>
      <c r="AA223" s="41">
        <v>3750</v>
      </c>
      <c r="AB223" s="41">
        <v>0</v>
      </c>
      <c r="AC223" s="41">
        <v>200</v>
      </c>
      <c r="AD223" s="41">
        <v>0</v>
      </c>
      <c r="AE223" s="236">
        <f t="shared" si="17"/>
        <v>77283</v>
      </c>
      <c r="AF223" s="239">
        <f t="shared" si="20"/>
        <v>11717</v>
      </c>
      <c r="AG223" s="237">
        <f t="shared" si="39"/>
        <v>11717</v>
      </c>
      <c r="AH223" s="237"/>
      <c r="AI223" s="237"/>
    </row>
    <row r="224" spans="1:35" ht="30" hidden="1" customHeight="1" x14ac:dyDescent="0.3">
      <c r="A224" s="3">
        <f t="shared" si="11"/>
        <v>223</v>
      </c>
      <c r="B224" s="327" t="s">
        <v>697</v>
      </c>
      <c r="C224" s="46">
        <v>45966</v>
      </c>
      <c r="D224" s="60" t="s">
        <v>33</v>
      </c>
      <c r="E224" s="328" t="s">
        <v>704</v>
      </c>
      <c r="F224" s="260" t="s">
        <v>37</v>
      </c>
      <c r="G224" s="261">
        <v>36</v>
      </c>
      <c r="H224" s="8" t="s">
        <v>38</v>
      </c>
      <c r="I224" s="24" t="s">
        <v>706</v>
      </c>
      <c r="J224" s="45">
        <f>158333+(190000*3)+109000</f>
        <v>837333</v>
      </c>
      <c r="K224" s="43">
        <f t="shared" si="43"/>
        <v>75360</v>
      </c>
      <c r="L224" s="40">
        <f t="shared" si="44"/>
        <v>75360</v>
      </c>
      <c r="M224" s="40">
        <f t="shared" si="42"/>
        <v>0</v>
      </c>
      <c r="N224" s="406">
        <f t="shared" si="33"/>
        <v>988053</v>
      </c>
      <c r="O224" s="21">
        <f>J224*1%</f>
        <v>8373.33</v>
      </c>
      <c r="P224" s="9">
        <f>O224/J224</f>
        <v>0.01</v>
      </c>
      <c r="Q224" s="23">
        <v>979679.67</v>
      </c>
      <c r="R224" s="67">
        <v>46031</v>
      </c>
      <c r="S224" s="6" t="s">
        <v>74</v>
      </c>
      <c r="T224" s="10" t="s">
        <v>124</v>
      </c>
      <c r="U224" s="66">
        <f t="shared" si="19"/>
        <v>0</v>
      </c>
      <c r="V224" s="8"/>
      <c r="W224" s="7" t="str">
        <f t="shared" si="46"/>
        <v>No Due</v>
      </c>
      <c r="Z224" s="266">
        <v>605364</v>
      </c>
      <c r="AA224" s="41">
        <v>18750</v>
      </c>
      <c r="AB224" s="41"/>
      <c r="AC224" s="41">
        <v>1000</v>
      </c>
      <c r="AD224" s="41">
        <v>78102</v>
      </c>
      <c r="AE224" s="236">
        <f>SUBTOTAL(9,Z224:AD224)</f>
        <v>0</v>
      </c>
      <c r="AF224" s="239">
        <f>J224-AE224</f>
        <v>837333</v>
      </c>
      <c r="AG224" s="237">
        <v>134117</v>
      </c>
      <c r="AH224" s="237"/>
      <c r="AI224" s="237"/>
    </row>
    <row r="225" spans="1:35" ht="30" hidden="1" customHeight="1" x14ac:dyDescent="0.3">
      <c r="A225" s="3">
        <f t="shared" si="11"/>
        <v>224</v>
      </c>
      <c r="B225" s="327" t="s">
        <v>697</v>
      </c>
      <c r="C225" s="46">
        <v>45966</v>
      </c>
      <c r="D225" s="60" t="s">
        <v>33</v>
      </c>
      <c r="E225" s="328" t="s">
        <v>705</v>
      </c>
      <c r="F225" s="260" t="s">
        <v>37</v>
      </c>
      <c r="G225" s="261">
        <v>36</v>
      </c>
      <c r="H225" s="8" t="s">
        <v>38</v>
      </c>
      <c r="I225" s="24" t="s">
        <v>707</v>
      </c>
      <c r="J225" s="45">
        <f>(3000*2)</f>
        <v>6000</v>
      </c>
      <c r="K225" s="169">
        <f t="shared" si="43"/>
        <v>540</v>
      </c>
      <c r="L225" s="40">
        <f t="shared" si="44"/>
        <v>540</v>
      </c>
      <c r="M225" s="40">
        <f t="shared" si="42"/>
        <v>0</v>
      </c>
      <c r="N225" s="406">
        <f t="shared" si="33"/>
        <v>7080</v>
      </c>
      <c r="O225" s="21">
        <f>J225*10%</f>
        <v>600</v>
      </c>
      <c r="P225" s="9">
        <f>O225/J225</f>
        <v>0.1</v>
      </c>
      <c r="Q225" s="23">
        <f>N225-O225</f>
        <v>6480</v>
      </c>
      <c r="R225" s="67">
        <v>46031</v>
      </c>
      <c r="S225" s="6" t="s">
        <v>74</v>
      </c>
      <c r="T225" s="10" t="s">
        <v>124</v>
      </c>
      <c r="U225" s="66">
        <f t="shared" si="19"/>
        <v>0</v>
      </c>
      <c r="V225" s="8"/>
      <c r="W225" s="7" t="str">
        <f t="shared" si="46"/>
        <v>No Due</v>
      </c>
      <c r="Z225" s="266">
        <v>0</v>
      </c>
      <c r="AA225" s="41">
        <v>0</v>
      </c>
      <c r="AB225" s="41">
        <v>0</v>
      </c>
      <c r="AC225" s="41">
        <v>0</v>
      </c>
      <c r="AD225" s="41">
        <v>0</v>
      </c>
      <c r="AE225" s="236">
        <f>SUBTOTAL(9,Z225:AD225)</f>
        <v>0</v>
      </c>
      <c r="AF225" s="239">
        <f>J225-AE225</f>
        <v>6000</v>
      </c>
      <c r="AG225" s="237">
        <v>6000</v>
      </c>
      <c r="AH225" s="237"/>
      <c r="AI225" s="237"/>
    </row>
    <row r="226" spans="1:35" ht="30" hidden="1" customHeight="1" x14ac:dyDescent="0.3">
      <c r="A226" s="3">
        <f t="shared" si="11"/>
        <v>225</v>
      </c>
      <c r="B226" s="327" t="s">
        <v>697</v>
      </c>
      <c r="C226" s="46">
        <v>45966</v>
      </c>
      <c r="D226" s="164" t="s">
        <v>70</v>
      </c>
      <c r="E226" s="331" t="s">
        <v>708</v>
      </c>
      <c r="F226" s="260" t="s">
        <v>134</v>
      </c>
      <c r="G226" s="261">
        <v>10</v>
      </c>
      <c r="H226" s="8" t="s">
        <v>39</v>
      </c>
      <c r="I226" s="24" t="s">
        <v>710</v>
      </c>
      <c r="J226" s="45">
        <v>39001</v>
      </c>
      <c r="K226" s="166">
        <f t="shared" si="43"/>
        <v>0</v>
      </c>
      <c r="L226" s="40">
        <f t="shared" si="44"/>
        <v>0</v>
      </c>
      <c r="M226" s="40">
        <f t="shared" si="42"/>
        <v>7020</v>
      </c>
      <c r="N226" s="406">
        <f t="shared" si="33"/>
        <v>46021</v>
      </c>
      <c r="O226" s="21">
        <v>780</v>
      </c>
      <c r="P226" s="9">
        <f t="shared" ref="P226:P232" si="47">O226/J226</f>
        <v>1.9999487192636087E-2</v>
      </c>
      <c r="Q226" s="23">
        <v>45241.18</v>
      </c>
      <c r="R226" s="67">
        <v>45989</v>
      </c>
      <c r="S226" s="6" t="s">
        <v>74</v>
      </c>
      <c r="T226" s="10" t="s">
        <v>136</v>
      </c>
      <c r="U226" s="66">
        <f t="shared" si="19"/>
        <v>-0.18000000000029104</v>
      </c>
      <c r="V226" s="8"/>
      <c r="W226" s="383" t="s">
        <v>811</v>
      </c>
      <c r="Z226" s="266">
        <v>34201</v>
      </c>
      <c r="AA226" s="41">
        <v>3750</v>
      </c>
      <c r="AB226" s="41">
        <v>0</v>
      </c>
      <c r="AC226" s="41">
        <v>200</v>
      </c>
      <c r="AD226" s="41">
        <v>0</v>
      </c>
      <c r="AE226" s="236">
        <f t="shared" ref="AE226:AE258" si="48">SUM(Z226:AD226)</f>
        <v>38151</v>
      </c>
      <c r="AF226" s="239">
        <f t="shared" ref="AF226:AF227" si="49">J226-AE226</f>
        <v>850</v>
      </c>
      <c r="AG226" s="237">
        <f t="shared" ref="AG226:AG227" si="50">AF226</f>
        <v>850</v>
      </c>
      <c r="AH226" s="237"/>
      <c r="AI226" s="237"/>
    </row>
    <row r="227" spans="1:35" ht="30" hidden="1" customHeight="1" x14ac:dyDescent="0.3">
      <c r="A227" s="3">
        <f t="shared" si="11"/>
        <v>226</v>
      </c>
      <c r="B227" s="327" t="s">
        <v>697</v>
      </c>
      <c r="C227" s="46">
        <v>45966</v>
      </c>
      <c r="D227" s="164" t="s">
        <v>70</v>
      </c>
      <c r="E227" s="328" t="s">
        <v>709</v>
      </c>
      <c r="F227" s="260" t="s">
        <v>134</v>
      </c>
      <c r="G227" s="261">
        <v>10</v>
      </c>
      <c r="H227" s="8" t="s">
        <v>39</v>
      </c>
      <c r="I227" s="24" t="s">
        <v>710</v>
      </c>
      <c r="J227" s="45">
        <v>60709</v>
      </c>
      <c r="K227" s="166">
        <f t="shared" si="43"/>
        <v>0</v>
      </c>
      <c r="L227" s="40">
        <f t="shared" si="44"/>
        <v>0</v>
      </c>
      <c r="M227" s="40">
        <f t="shared" si="42"/>
        <v>10928</v>
      </c>
      <c r="N227" s="406">
        <f t="shared" si="33"/>
        <v>71637</v>
      </c>
      <c r="O227" s="21">
        <v>1214</v>
      </c>
      <c r="P227" s="9">
        <f t="shared" si="47"/>
        <v>1.9997035035991369E-2</v>
      </c>
      <c r="Q227" s="23">
        <v>70422.62</v>
      </c>
      <c r="R227" s="67">
        <v>45989</v>
      </c>
      <c r="S227" s="6" t="s">
        <v>74</v>
      </c>
      <c r="T227" s="10" t="s">
        <v>136</v>
      </c>
      <c r="U227" s="66">
        <f t="shared" si="19"/>
        <v>0.38000000000465661</v>
      </c>
      <c r="V227" s="8"/>
      <c r="W227" s="383" t="s">
        <v>811</v>
      </c>
      <c r="Z227" s="266">
        <v>55909</v>
      </c>
      <c r="AA227" s="41">
        <v>3750</v>
      </c>
      <c r="AB227" s="41">
        <v>0</v>
      </c>
      <c r="AC227" s="41">
        <v>200</v>
      </c>
      <c r="AD227" s="41">
        <v>0</v>
      </c>
      <c r="AE227" s="236">
        <f t="shared" si="48"/>
        <v>59859</v>
      </c>
      <c r="AF227" s="239">
        <f t="shared" si="49"/>
        <v>850</v>
      </c>
      <c r="AG227" s="237">
        <f t="shared" si="50"/>
        <v>850</v>
      </c>
      <c r="AH227" s="237"/>
      <c r="AI227" s="237"/>
    </row>
    <row r="228" spans="1:35" ht="30" hidden="1" customHeight="1" x14ac:dyDescent="0.3">
      <c r="A228" s="3">
        <f t="shared" si="11"/>
        <v>227</v>
      </c>
      <c r="B228" s="327" t="s">
        <v>697</v>
      </c>
      <c r="C228" s="46">
        <v>45967</v>
      </c>
      <c r="D228" s="334" t="s">
        <v>288</v>
      </c>
      <c r="E228" s="329" t="s">
        <v>711</v>
      </c>
      <c r="F228" s="306" t="s">
        <v>626</v>
      </c>
      <c r="G228" s="261">
        <v>24</v>
      </c>
      <c r="H228" s="8" t="s">
        <v>627</v>
      </c>
      <c r="I228" s="24" t="s">
        <v>712</v>
      </c>
      <c r="J228" s="45">
        <v>5858783</v>
      </c>
      <c r="K228" s="169">
        <f t="shared" si="43"/>
        <v>0</v>
      </c>
      <c r="L228" s="40">
        <f t="shared" si="44"/>
        <v>0</v>
      </c>
      <c r="M228" s="40">
        <f t="shared" si="42"/>
        <v>1054581</v>
      </c>
      <c r="N228" s="406">
        <f t="shared" si="33"/>
        <v>6913364</v>
      </c>
      <c r="O228" s="21">
        <f>J228*2%</f>
        <v>117175.66</v>
      </c>
      <c r="P228" s="9">
        <f t="shared" si="47"/>
        <v>0.02</v>
      </c>
      <c r="Q228" s="23">
        <v>6903088</v>
      </c>
      <c r="R228" s="67">
        <v>45995</v>
      </c>
      <c r="S228" s="6" t="s">
        <v>74</v>
      </c>
      <c r="T228" s="10" t="s">
        <v>147</v>
      </c>
      <c r="U228" s="66">
        <f>ROUND(N228-O228-Q228+106900,0)</f>
        <v>0</v>
      </c>
      <c r="V228" s="8"/>
      <c r="W228" s="7" t="str">
        <f t="shared" si="16"/>
        <v>No Due</v>
      </c>
      <c r="Z228" s="266">
        <v>4810389</v>
      </c>
      <c r="AA228" s="41">
        <v>577876</v>
      </c>
      <c r="AB228" s="41"/>
      <c r="AC228" s="41">
        <v>37800</v>
      </c>
      <c r="AD228" s="41">
        <v>153730</v>
      </c>
      <c r="AE228" s="236">
        <f t="shared" si="48"/>
        <v>5579795</v>
      </c>
      <c r="AF228" s="239">
        <f>J228-AE228</f>
        <v>278988</v>
      </c>
      <c r="AG228" s="237"/>
      <c r="AH228" s="237"/>
      <c r="AI228" s="237" t="s">
        <v>1003</v>
      </c>
    </row>
    <row r="229" spans="1:35" ht="30" hidden="1" customHeight="1" x14ac:dyDescent="0.3">
      <c r="A229" s="3">
        <f t="shared" si="11"/>
        <v>228</v>
      </c>
      <c r="B229" s="327" t="s">
        <v>697</v>
      </c>
      <c r="C229" s="46">
        <v>45971</v>
      </c>
      <c r="D229" s="167" t="s">
        <v>70</v>
      </c>
      <c r="E229" s="331" t="s">
        <v>714</v>
      </c>
      <c r="F229" s="260" t="s">
        <v>138</v>
      </c>
      <c r="G229" s="261">
        <v>36</v>
      </c>
      <c r="H229" s="8" t="s">
        <v>49</v>
      </c>
      <c r="I229" s="24" t="s">
        <v>720</v>
      </c>
      <c r="J229" s="45">
        <v>20855002</v>
      </c>
      <c r="K229" s="169">
        <f t="shared" si="43"/>
        <v>1876950</v>
      </c>
      <c r="L229" s="40">
        <f t="shared" si="44"/>
        <v>1876950</v>
      </c>
      <c r="M229" s="40">
        <f t="shared" si="42"/>
        <v>0</v>
      </c>
      <c r="N229" s="407">
        <f t="shared" si="33"/>
        <v>24608902</v>
      </c>
      <c r="O229" s="21">
        <v>52138</v>
      </c>
      <c r="P229" s="9">
        <f t="shared" si="47"/>
        <v>2.5000237353129959E-3</v>
      </c>
      <c r="Q229" s="23">
        <v>24556764.359999999</v>
      </c>
      <c r="R229" s="67">
        <v>45989</v>
      </c>
      <c r="S229" s="6" t="s">
        <v>74</v>
      </c>
      <c r="T229" s="10" t="s">
        <v>96</v>
      </c>
      <c r="U229" s="66">
        <f t="shared" si="19"/>
        <v>-0.35999999940395355</v>
      </c>
      <c r="V229" s="8"/>
      <c r="W229" s="383" t="s">
        <v>811</v>
      </c>
      <c r="Z229" s="266">
        <v>18874041</v>
      </c>
      <c r="AA229" s="41">
        <v>1648361</v>
      </c>
      <c r="AB229" s="41"/>
      <c r="AC229" s="41">
        <v>87300</v>
      </c>
      <c r="AD229" s="41"/>
      <c r="AE229" s="236">
        <f t="shared" si="48"/>
        <v>20609702</v>
      </c>
      <c r="AF229" s="239">
        <f>J229-AE229</f>
        <v>245300</v>
      </c>
      <c r="AG229" s="237">
        <v>0</v>
      </c>
      <c r="AH229" s="237"/>
      <c r="AI229" s="237"/>
    </row>
    <row r="230" spans="1:35" ht="30" hidden="1" customHeight="1" x14ac:dyDescent="0.3">
      <c r="A230" s="3">
        <f t="shared" si="11"/>
        <v>229</v>
      </c>
      <c r="B230" s="327" t="s">
        <v>697</v>
      </c>
      <c r="C230" s="46">
        <v>45971</v>
      </c>
      <c r="D230" s="167" t="s">
        <v>70</v>
      </c>
      <c r="E230" s="331" t="s">
        <v>715</v>
      </c>
      <c r="F230" s="260" t="s">
        <v>138</v>
      </c>
      <c r="G230" s="261">
        <v>36</v>
      </c>
      <c r="H230" s="8" t="s">
        <v>49</v>
      </c>
      <c r="I230" s="24" t="s">
        <v>718</v>
      </c>
      <c r="J230" s="45">
        <v>596164</v>
      </c>
      <c r="K230" s="169">
        <f t="shared" si="43"/>
        <v>53655</v>
      </c>
      <c r="L230" s="40">
        <f t="shared" si="44"/>
        <v>53655</v>
      </c>
      <c r="M230" s="40">
        <f t="shared" si="42"/>
        <v>0</v>
      </c>
      <c r="N230" s="407">
        <f t="shared" si="33"/>
        <v>703474</v>
      </c>
      <c r="O230" s="21">
        <v>1490</v>
      </c>
      <c r="P230" s="9">
        <f t="shared" si="47"/>
        <v>2.4993122697781148E-3</v>
      </c>
      <c r="Q230" s="23">
        <v>701983.52</v>
      </c>
      <c r="R230" s="67">
        <v>45989</v>
      </c>
      <c r="S230" s="6" t="s">
        <v>74</v>
      </c>
      <c r="T230" s="10" t="s">
        <v>96</v>
      </c>
      <c r="U230" s="66">
        <f t="shared" si="19"/>
        <v>0.47999999998137355</v>
      </c>
      <c r="V230" s="8"/>
      <c r="W230" s="383" t="s">
        <v>811</v>
      </c>
      <c r="Z230" s="266">
        <v>590114</v>
      </c>
      <c r="AA230" s="41">
        <v>0</v>
      </c>
      <c r="AB230" s="41">
        <v>0</v>
      </c>
      <c r="AC230" s="41">
        <v>0</v>
      </c>
      <c r="AD230" s="41">
        <v>0</v>
      </c>
      <c r="AE230" s="236">
        <f t="shared" si="48"/>
        <v>590114</v>
      </c>
      <c r="AF230" s="239">
        <f t="shared" ref="AF230:AF232" si="51">J230-AE230</f>
        <v>6050</v>
      </c>
      <c r="AG230" s="237">
        <f t="shared" ref="AG230:AG232" si="52">AF230</f>
        <v>6050</v>
      </c>
      <c r="AH230" s="237"/>
      <c r="AI230" s="237"/>
    </row>
    <row r="231" spans="1:35" ht="30" hidden="1" customHeight="1" x14ac:dyDescent="0.3">
      <c r="A231" s="3">
        <f t="shared" si="11"/>
        <v>230</v>
      </c>
      <c r="B231" s="327" t="s">
        <v>697</v>
      </c>
      <c r="C231" s="46">
        <v>45971</v>
      </c>
      <c r="D231" s="167" t="s">
        <v>70</v>
      </c>
      <c r="E231" s="331" t="s">
        <v>716</v>
      </c>
      <c r="F231" s="260" t="s">
        <v>138</v>
      </c>
      <c r="G231" s="261">
        <v>36</v>
      </c>
      <c r="H231" s="8" t="s">
        <v>49</v>
      </c>
      <c r="I231" s="24" t="s">
        <v>719</v>
      </c>
      <c r="J231" s="45">
        <v>663872</v>
      </c>
      <c r="K231" s="169">
        <f>ROUND(IF(G231=36,J231*9%,0),0)</f>
        <v>59748</v>
      </c>
      <c r="L231" s="40">
        <f>ROUND(IF(G231=36,J231*9%,0),0)</f>
        <v>59748</v>
      </c>
      <c r="M231" s="40">
        <f>ROUND(IF(G231=36,J231*0%,J231*18%),0)</f>
        <v>0</v>
      </c>
      <c r="N231" s="407">
        <f>J231+K231+L231+M231</f>
        <v>783368</v>
      </c>
      <c r="O231" s="21">
        <v>1660</v>
      </c>
      <c r="P231" s="9">
        <f t="shared" si="47"/>
        <v>2.5004820206304831E-3</v>
      </c>
      <c r="Q231" s="23">
        <v>781708.96</v>
      </c>
      <c r="R231" s="67">
        <v>45989</v>
      </c>
      <c r="S231" s="6" t="s">
        <v>74</v>
      </c>
      <c r="T231" s="10" t="s">
        <v>96</v>
      </c>
      <c r="U231" s="66">
        <f t="shared" si="19"/>
        <v>-0.9599999999627471</v>
      </c>
      <c r="V231" s="8"/>
      <c r="W231" s="383" t="s">
        <v>811</v>
      </c>
      <c r="Z231" s="266">
        <v>615472</v>
      </c>
      <c r="AA231" s="41">
        <v>0</v>
      </c>
      <c r="AB231" s="41">
        <v>0</v>
      </c>
      <c r="AC231" s="41">
        <v>0</v>
      </c>
      <c r="AD231" s="41">
        <v>0</v>
      </c>
      <c r="AE231" s="236">
        <f t="shared" si="48"/>
        <v>615472</v>
      </c>
      <c r="AF231" s="239">
        <f t="shared" si="51"/>
        <v>48400</v>
      </c>
      <c r="AG231" s="237">
        <f t="shared" si="52"/>
        <v>48400</v>
      </c>
      <c r="AH231" s="237"/>
      <c r="AI231" s="237"/>
    </row>
    <row r="232" spans="1:35" ht="30" hidden="1" customHeight="1" x14ac:dyDescent="0.3">
      <c r="A232" s="3">
        <f t="shared" si="11"/>
        <v>231</v>
      </c>
      <c r="B232" s="327" t="s">
        <v>697</v>
      </c>
      <c r="C232" s="46">
        <v>45971</v>
      </c>
      <c r="D232" s="167" t="s">
        <v>70</v>
      </c>
      <c r="E232" s="331" t="s">
        <v>717</v>
      </c>
      <c r="F232" s="167" t="s">
        <v>138</v>
      </c>
      <c r="G232" s="168">
        <v>36</v>
      </c>
      <c r="H232" s="8" t="s">
        <v>49</v>
      </c>
      <c r="I232" s="24" t="s">
        <v>721</v>
      </c>
      <c r="J232" s="39">
        <v>419931</v>
      </c>
      <c r="K232" s="169">
        <f t="shared" ref="K232:K240" si="53">ROUND(IF(G232=36,J232*9%,0),0)</f>
        <v>37794</v>
      </c>
      <c r="L232" s="40">
        <f t="shared" ref="L232:L240" si="54">ROUND(IF(G232=36,J232*9%,0),0)</f>
        <v>37794</v>
      </c>
      <c r="M232" s="40">
        <f t="shared" ref="M232:M240" si="55">ROUND(IF(G232=36,J232*0%,J232*18%),0)</f>
        <v>0</v>
      </c>
      <c r="N232" s="407">
        <f t="shared" ref="N232:N240" si="56">J232+K232+L232+M232</f>
        <v>495519</v>
      </c>
      <c r="O232" s="21">
        <v>1050</v>
      </c>
      <c r="P232" s="9">
        <f t="shared" si="47"/>
        <v>2.5004107817712912E-3</v>
      </c>
      <c r="Q232" s="23">
        <v>494468.58</v>
      </c>
      <c r="R232" s="67">
        <v>45989</v>
      </c>
      <c r="S232" s="6" t="s">
        <v>74</v>
      </c>
      <c r="T232" s="10" t="s">
        <v>96</v>
      </c>
      <c r="U232" s="66">
        <f t="shared" si="19"/>
        <v>0.41999999998370185</v>
      </c>
      <c r="V232" s="8"/>
      <c r="W232" s="383" t="s">
        <v>811</v>
      </c>
      <c r="Z232" s="266">
        <v>403431</v>
      </c>
      <c r="AA232" s="41">
        <v>0</v>
      </c>
      <c r="AB232" s="41">
        <v>0</v>
      </c>
      <c r="AC232" s="41">
        <v>0</v>
      </c>
      <c r="AD232" s="41">
        <v>0</v>
      </c>
      <c r="AE232" s="236">
        <f t="shared" si="48"/>
        <v>403431</v>
      </c>
      <c r="AF232" s="239">
        <f t="shared" si="51"/>
        <v>16500</v>
      </c>
      <c r="AG232" s="237">
        <f t="shared" si="52"/>
        <v>16500</v>
      </c>
      <c r="AH232" s="237"/>
      <c r="AI232" s="237"/>
    </row>
    <row r="233" spans="1:35" ht="30" hidden="1" customHeight="1" x14ac:dyDescent="0.3">
      <c r="A233" s="3">
        <f>A232+1</f>
        <v>232</v>
      </c>
      <c r="B233" s="327" t="s">
        <v>697</v>
      </c>
      <c r="C233" s="46">
        <v>45979</v>
      </c>
      <c r="D233" s="334" t="s">
        <v>746</v>
      </c>
      <c r="E233" s="331" t="s">
        <v>723</v>
      </c>
      <c r="F233" s="331" t="s">
        <v>724</v>
      </c>
      <c r="G233" s="147">
        <v>6</v>
      </c>
      <c r="H233" s="8" t="s">
        <v>722</v>
      </c>
      <c r="I233" s="24" t="s">
        <v>747</v>
      </c>
      <c r="J233" s="162">
        <f>5750*4</f>
        <v>23000</v>
      </c>
      <c r="K233" s="169">
        <f t="shared" si="53"/>
        <v>0</v>
      </c>
      <c r="L233" s="40">
        <f t="shared" si="54"/>
        <v>0</v>
      </c>
      <c r="M233" s="40">
        <f t="shared" si="55"/>
        <v>4140</v>
      </c>
      <c r="N233" s="406">
        <f t="shared" si="56"/>
        <v>27140</v>
      </c>
      <c r="O233" s="21">
        <v>2300</v>
      </c>
      <c r="P233" s="9">
        <f>O233/J233</f>
        <v>0.1</v>
      </c>
      <c r="Q233" s="23">
        <v>24840</v>
      </c>
      <c r="R233" s="67">
        <v>46010</v>
      </c>
      <c r="S233" s="6" t="s">
        <v>74</v>
      </c>
      <c r="T233" s="10" t="s">
        <v>790</v>
      </c>
      <c r="U233" s="66">
        <f t="shared" si="19"/>
        <v>0</v>
      </c>
      <c r="V233" s="8"/>
      <c r="W233" s="7" t="str">
        <f t="shared" si="16"/>
        <v>No Due</v>
      </c>
      <c r="Z233" s="266">
        <v>0</v>
      </c>
      <c r="AA233" s="41">
        <v>0</v>
      </c>
      <c r="AB233" s="41">
        <v>0</v>
      </c>
      <c r="AC233" s="41">
        <v>0</v>
      </c>
      <c r="AD233" s="41">
        <v>0</v>
      </c>
      <c r="AE233" s="236">
        <f t="shared" si="48"/>
        <v>0</v>
      </c>
      <c r="AF233" s="239">
        <f>J233-AE233</f>
        <v>23000</v>
      </c>
      <c r="AG233" s="237">
        <v>23000</v>
      </c>
      <c r="AH233" s="237"/>
      <c r="AI233" s="237"/>
    </row>
    <row r="234" spans="1:35" ht="30" hidden="1" customHeight="1" x14ac:dyDescent="0.3">
      <c r="A234" s="3">
        <f t="shared" si="11"/>
        <v>233</v>
      </c>
      <c r="B234" s="327" t="s">
        <v>697</v>
      </c>
      <c r="C234" s="46">
        <v>45979</v>
      </c>
      <c r="D234" s="130" t="s">
        <v>129</v>
      </c>
      <c r="E234" s="331" t="s">
        <v>748</v>
      </c>
      <c r="F234" s="130" t="s">
        <v>146</v>
      </c>
      <c r="G234" s="131">
        <v>36</v>
      </c>
      <c r="H234" s="8" t="s">
        <v>52</v>
      </c>
      <c r="I234" s="24" t="s">
        <v>754</v>
      </c>
      <c r="J234" s="45">
        <f>96*200</f>
        <v>19200</v>
      </c>
      <c r="K234" s="169">
        <f t="shared" si="53"/>
        <v>1728</v>
      </c>
      <c r="L234" s="40">
        <f t="shared" si="54"/>
        <v>1728</v>
      </c>
      <c r="M234" s="40">
        <f t="shared" si="55"/>
        <v>0</v>
      </c>
      <c r="N234" s="406">
        <f t="shared" si="56"/>
        <v>22656</v>
      </c>
      <c r="O234" s="21">
        <v>1920</v>
      </c>
      <c r="P234" s="9">
        <f t="shared" ref="P234" si="57">O234/J234</f>
        <v>0.1</v>
      </c>
      <c r="Q234" s="23">
        <v>20736</v>
      </c>
      <c r="R234" s="67">
        <v>46041</v>
      </c>
      <c r="S234" s="6" t="s">
        <v>74</v>
      </c>
      <c r="T234" s="10" t="s">
        <v>147</v>
      </c>
      <c r="U234" s="66">
        <f t="shared" si="19"/>
        <v>0</v>
      </c>
      <c r="V234" s="8"/>
      <c r="W234" s="7" t="str">
        <f t="shared" si="16"/>
        <v>No Due</v>
      </c>
      <c r="Z234" s="266">
        <v>0</v>
      </c>
      <c r="AA234" s="41">
        <v>0</v>
      </c>
      <c r="AB234" s="41">
        <v>0</v>
      </c>
      <c r="AC234" s="41">
        <v>0</v>
      </c>
      <c r="AD234" s="41">
        <v>0</v>
      </c>
      <c r="AE234" s="236">
        <f t="shared" si="48"/>
        <v>0</v>
      </c>
      <c r="AF234" s="239">
        <f>J234-AE234</f>
        <v>19200</v>
      </c>
      <c r="AG234" s="237">
        <v>19200</v>
      </c>
      <c r="AH234" s="237">
        <v>0</v>
      </c>
      <c r="AI234" s="237"/>
    </row>
    <row r="235" spans="1:35" ht="30" hidden="1" customHeight="1" x14ac:dyDescent="0.3">
      <c r="A235" s="3">
        <f t="shared" si="11"/>
        <v>234</v>
      </c>
      <c r="B235" s="327" t="s">
        <v>697</v>
      </c>
      <c r="C235" s="46">
        <v>45979</v>
      </c>
      <c r="D235" s="130" t="s">
        <v>129</v>
      </c>
      <c r="E235" s="376" t="s">
        <v>749</v>
      </c>
      <c r="F235" s="130" t="s">
        <v>131</v>
      </c>
      <c r="G235" s="131">
        <v>36</v>
      </c>
      <c r="H235" s="8" t="s">
        <v>51</v>
      </c>
      <c r="I235" s="24" t="s">
        <v>754</v>
      </c>
      <c r="J235" s="45">
        <f>3*200</f>
        <v>600</v>
      </c>
      <c r="K235" s="169">
        <f t="shared" si="53"/>
        <v>54</v>
      </c>
      <c r="L235" s="40">
        <f t="shared" si="54"/>
        <v>54</v>
      </c>
      <c r="M235" s="40">
        <f t="shared" si="55"/>
        <v>0</v>
      </c>
      <c r="N235" s="406">
        <f>J235+K235+L235+M235</f>
        <v>708</v>
      </c>
      <c r="O235" s="21">
        <f t="shared" ref="O235" si="58">N235-Q235</f>
        <v>60</v>
      </c>
      <c r="P235" s="9">
        <f t="shared" ref="P235" si="59">O235/J235</f>
        <v>0.1</v>
      </c>
      <c r="Q235" s="23">
        <v>648</v>
      </c>
      <c r="R235" s="67">
        <v>46036</v>
      </c>
      <c r="S235" s="6" t="s">
        <v>74</v>
      </c>
      <c r="T235" s="10" t="s">
        <v>147</v>
      </c>
      <c r="U235" s="66">
        <f t="shared" si="19"/>
        <v>0</v>
      </c>
      <c r="V235" s="8"/>
      <c r="W235" s="7" t="str">
        <f t="shared" si="16"/>
        <v>No Due</v>
      </c>
      <c r="Z235" s="266">
        <v>0</v>
      </c>
      <c r="AA235" s="41">
        <v>0</v>
      </c>
      <c r="AB235" s="41">
        <v>0</v>
      </c>
      <c r="AC235" s="41">
        <v>0</v>
      </c>
      <c r="AD235" s="41">
        <v>0</v>
      </c>
      <c r="AE235" s="236">
        <f t="shared" si="48"/>
        <v>0</v>
      </c>
      <c r="AF235" s="239">
        <f t="shared" ref="AF235:AF243" si="60">J235-AE235</f>
        <v>600</v>
      </c>
      <c r="AG235" s="237">
        <v>600</v>
      </c>
      <c r="AH235" s="237">
        <v>0</v>
      </c>
      <c r="AI235" s="237"/>
    </row>
    <row r="236" spans="1:35" ht="30" hidden="1" customHeight="1" x14ac:dyDescent="0.3">
      <c r="A236" s="3">
        <f t="shared" si="11"/>
        <v>235</v>
      </c>
      <c r="B236" s="327" t="s">
        <v>697</v>
      </c>
      <c r="C236" s="46">
        <v>45979</v>
      </c>
      <c r="D236" s="144" t="s">
        <v>129</v>
      </c>
      <c r="E236" s="374" t="s">
        <v>750</v>
      </c>
      <c r="F236" s="144" t="s">
        <v>164</v>
      </c>
      <c r="G236" s="145">
        <v>36</v>
      </c>
      <c r="H236" s="8" t="s">
        <v>28</v>
      </c>
      <c r="I236" s="24" t="s">
        <v>755</v>
      </c>
      <c r="J236" s="45">
        <f>118*200</f>
        <v>23600</v>
      </c>
      <c r="K236" s="139">
        <f>ROUND(IF(G236=36,J236*9%,0),0)</f>
        <v>2124</v>
      </c>
      <c r="L236" s="40">
        <f t="shared" si="54"/>
        <v>2124</v>
      </c>
      <c r="M236" s="40">
        <f t="shared" si="55"/>
        <v>0</v>
      </c>
      <c r="N236" s="406">
        <f t="shared" si="56"/>
        <v>27848</v>
      </c>
      <c r="O236" s="21">
        <f t="shared" ref="O236:O239" si="61">N236-Q236</f>
        <v>2360</v>
      </c>
      <c r="P236" s="9">
        <f t="shared" ref="P236:P239" si="62">O236/J236</f>
        <v>0.1</v>
      </c>
      <c r="Q236" s="23">
        <v>25488</v>
      </c>
      <c r="R236" s="67">
        <v>46001</v>
      </c>
      <c r="S236" s="6" t="s">
        <v>74</v>
      </c>
      <c r="T236" s="10" t="s">
        <v>251</v>
      </c>
      <c r="U236" s="66">
        <f t="shared" si="19"/>
        <v>0</v>
      </c>
      <c r="V236" s="8"/>
      <c r="W236" s="7" t="str">
        <f t="shared" si="16"/>
        <v>No Due</v>
      </c>
      <c r="Z236" s="266">
        <v>0</v>
      </c>
      <c r="AA236" s="41">
        <v>0</v>
      </c>
      <c r="AB236" s="41">
        <v>0</v>
      </c>
      <c r="AC236" s="41">
        <v>0</v>
      </c>
      <c r="AD236" s="41">
        <v>0</v>
      </c>
      <c r="AE236" s="236">
        <f t="shared" si="48"/>
        <v>0</v>
      </c>
      <c r="AF236" s="239">
        <f t="shared" si="60"/>
        <v>23600</v>
      </c>
      <c r="AG236" s="41">
        <v>23600</v>
      </c>
      <c r="AH236" s="237"/>
      <c r="AI236" s="237"/>
    </row>
    <row r="237" spans="1:35" ht="30" hidden="1" customHeight="1" x14ac:dyDescent="0.3">
      <c r="A237" s="3">
        <f t="shared" ref="A237:A300" si="63">A236+1</f>
        <v>236</v>
      </c>
      <c r="B237" s="327" t="s">
        <v>697</v>
      </c>
      <c r="C237" s="46">
        <v>45979</v>
      </c>
      <c r="D237" s="144" t="s">
        <v>129</v>
      </c>
      <c r="E237" s="374" t="s">
        <v>751</v>
      </c>
      <c r="F237" s="144" t="s">
        <v>165</v>
      </c>
      <c r="G237" s="145">
        <v>36</v>
      </c>
      <c r="H237" s="8" t="s">
        <v>26</v>
      </c>
      <c r="I237" s="24" t="s">
        <v>755</v>
      </c>
      <c r="J237" s="45">
        <f>134*200</f>
        <v>26800</v>
      </c>
      <c r="K237" s="139">
        <f t="shared" si="53"/>
        <v>2412</v>
      </c>
      <c r="L237" s="40">
        <f t="shared" si="54"/>
        <v>2412</v>
      </c>
      <c r="M237" s="40">
        <f t="shared" si="55"/>
        <v>0</v>
      </c>
      <c r="N237" s="406">
        <f t="shared" si="56"/>
        <v>31624</v>
      </c>
      <c r="O237" s="21">
        <f t="shared" si="61"/>
        <v>2680</v>
      </c>
      <c r="P237" s="9">
        <f t="shared" si="62"/>
        <v>0.1</v>
      </c>
      <c r="Q237" s="23">
        <v>28944</v>
      </c>
      <c r="R237" s="67">
        <v>46001</v>
      </c>
      <c r="S237" s="6" t="s">
        <v>74</v>
      </c>
      <c r="T237" s="10" t="s">
        <v>251</v>
      </c>
      <c r="U237" s="66">
        <f t="shared" si="19"/>
        <v>0</v>
      </c>
      <c r="V237" s="8"/>
      <c r="W237" s="7" t="str">
        <f t="shared" ref="W237:W243" si="64">IF(U237=0,"No Due","Outstanding")</f>
        <v>No Due</v>
      </c>
      <c r="Z237" s="266">
        <v>0</v>
      </c>
      <c r="AA237" s="41">
        <v>0</v>
      </c>
      <c r="AB237" s="41">
        <v>0</v>
      </c>
      <c r="AC237" s="41">
        <v>0</v>
      </c>
      <c r="AD237" s="41">
        <v>0</v>
      </c>
      <c r="AE237" s="236">
        <f t="shared" si="48"/>
        <v>0</v>
      </c>
      <c r="AF237" s="239">
        <f t="shared" si="60"/>
        <v>26800</v>
      </c>
      <c r="AG237" s="41">
        <v>26800</v>
      </c>
      <c r="AH237" s="237"/>
      <c r="AI237" s="237"/>
    </row>
    <row r="238" spans="1:35" ht="30" hidden="1" customHeight="1" x14ac:dyDescent="0.3">
      <c r="A238" s="3">
        <f t="shared" si="63"/>
        <v>237</v>
      </c>
      <c r="B238" s="327" t="s">
        <v>697</v>
      </c>
      <c r="C238" s="46">
        <v>45979</v>
      </c>
      <c r="D238" s="144" t="s">
        <v>129</v>
      </c>
      <c r="E238" s="374" t="s">
        <v>752</v>
      </c>
      <c r="F238" s="144" t="s">
        <v>166</v>
      </c>
      <c r="G238" s="145">
        <v>36</v>
      </c>
      <c r="H238" s="8" t="s">
        <v>27</v>
      </c>
      <c r="I238" s="24" t="s">
        <v>755</v>
      </c>
      <c r="J238" s="45">
        <f>102*200</f>
        <v>20400</v>
      </c>
      <c r="K238" s="139">
        <f t="shared" si="53"/>
        <v>1836</v>
      </c>
      <c r="L238" s="40">
        <f t="shared" si="54"/>
        <v>1836</v>
      </c>
      <c r="M238" s="40">
        <f t="shared" si="55"/>
        <v>0</v>
      </c>
      <c r="N238" s="406">
        <f t="shared" si="56"/>
        <v>24072</v>
      </c>
      <c r="O238" s="21">
        <f t="shared" si="61"/>
        <v>2040</v>
      </c>
      <c r="P238" s="9">
        <f t="shared" si="62"/>
        <v>0.1</v>
      </c>
      <c r="Q238" s="23">
        <v>22032</v>
      </c>
      <c r="R238" s="67">
        <v>46001</v>
      </c>
      <c r="S238" s="6" t="s">
        <v>74</v>
      </c>
      <c r="T238" s="10" t="s">
        <v>251</v>
      </c>
      <c r="U238" s="66">
        <f t="shared" si="19"/>
        <v>0</v>
      </c>
      <c r="V238" s="8"/>
      <c r="W238" s="7" t="str">
        <f t="shared" si="64"/>
        <v>No Due</v>
      </c>
      <c r="Z238" s="266">
        <v>0</v>
      </c>
      <c r="AA238" s="41">
        <v>0</v>
      </c>
      <c r="AB238" s="41">
        <v>0</v>
      </c>
      <c r="AC238" s="41">
        <v>0</v>
      </c>
      <c r="AD238" s="41">
        <v>0</v>
      </c>
      <c r="AE238" s="236">
        <f t="shared" si="48"/>
        <v>0</v>
      </c>
      <c r="AF238" s="239">
        <f t="shared" si="60"/>
        <v>20400</v>
      </c>
      <c r="AG238" s="41">
        <v>20400</v>
      </c>
      <c r="AH238" s="237"/>
      <c r="AI238" s="237"/>
    </row>
    <row r="239" spans="1:35" ht="30" hidden="1" customHeight="1" x14ac:dyDescent="0.3">
      <c r="A239" s="354">
        <f t="shared" si="63"/>
        <v>238</v>
      </c>
      <c r="B239" s="355" t="s">
        <v>697</v>
      </c>
      <c r="C239" s="356">
        <v>45979</v>
      </c>
      <c r="D239" s="357" t="s">
        <v>129</v>
      </c>
      <c r="E239" s="375" t="s">
        <v>753</v>
      </c>
      <c r="F239" s="357" t="s">
        <v>167</v>
      </c>
      <c r="G239" s="359">
        <v>36</v>
      </c>
      <c r="H239" s="360" t="s">
        <v>31</v>
      </c>
      <c r="I239" s="361" t="s">
        <v>755</v>
      </c>
      <c r="J239" s="362">
        <f>116*200</f>
        <v>23200</v>
      </c>
      <c r="K239" s="363">
        <f t="shared" si="53"/>
        <v>2088</v>
      </c>
      <c r="L239" s="364">
        <f t="shared" si="54"/>
        <v>2088</v>
      </c>
      <c r="M239" s="364">
        <f t="shared" si="55"/>
        <v>0</v>
      </c>
      <c r="N239" s="408">
        <f t="shared" si="56"/>
        <v>27376</v>
      </c>
      <c r="O239" s="21">
        <f t="shared" si="61"/>
        <v>2320</v>
      </c>
      <c r="P239" s="9">
        <f t="shared" si="62"/>
        <v>0.1</v>
      </c>
      <c r="Q239" s="366">
        <v>25056</v>
      </c>
      <c r="R239" s="67">
        <v>46001</v>
      </c>
      <c r="S239" s="6" t="s">
        <v>74</v>
      </c>
      <c r="T239" s="10" t="s">
        <v>251</v>
      </c>
      <c r="U239" s="66">
        <f t="shared" si="19"/>
        <v>0</v>
      </c>
      <c r="V239" s="360"/>
      <c r="W239" s="367" t="str">
        <f t="shared" si="64"/>
        <v>No Due</v>
      </c>
      <c r="Z239" s="266">
        <v>0</v>
      </c>
      <c r="AA239" s="41">
        <v>0</v>
      </c>
      <c r="AB239" s="41">
        <v>0</v>
      </c>
      <c r="AC239" s="41">
        <v>0</v>
      </c>
      <c r="AD239" s="41">
        <v>0</v>
      </c>
      <c r="AE239" s="236">
        <f t="shared" si="48"/>
        <v>0</v>
      </c>
      <c r="AF239" s="239">
        <f t="shared" si="60"/>
        <v>23200</v>
      </c>
      <c r="AG239" s="41">
        <v>23200</v>
      </c>
      <c r="AH239" s="368"/>
      <c r="AI239" s="368"/>
    </row>
    <row r="240" spans="1:35" ht="30" hidden="1" customHeight="1" x14ac:dyDescent="0.3">
      <c r="A240" s="3">
        <f t="shared" si="63"/>
        <v>239</v>
      </c>
      <c r="B240" s="327" t="s">
        <v>697</v>
      </c>
      <c r="C240" s="46">
        <v>45988</v>
      </c>
      <c r="D240" s="75" t="s">
        <v>70</v>
      </c>
      <c r="E240" s="331" t="s">
        <v>756</v>
      </c>
      <c r="F240" s="331" t="s">
        <v>126</v>
      </c>
      <c r="G240" s="261">
        <v>24</v>
      </c>
      <c r="H240" s="8" t="s">
        <v>125</v>
      </c>
      <c r="I240" s="24" t="s">
        <v>760</v>
      </c>
      <c r="J240" s="162">
        <v>11530859</v>
      </c>
      <c r="K240" s="43">
        <f t="shared" si="53"/>
        <v>0</v>
      </c>
      <c r="L240" s="40">
        <f t="shared" si="54"/>
        <v>0</v>
      </c>
      <c r="M240" s="40">
        <f t="shared" si="55"/>
        <v>2075555</v>
      </c>
      <c r="N240" s="406">
        <f t="shared" si="56"/>
        <v>13606414</v>
      </c>
      <c r="O240" s="21">
        <f t="shared" ref="O240:O243" si="65">N240-Q240</f>
        <v>28827.710000000894</v>
      </c>
      <c r="P240" s="9">
        <f>O240/J240</f>
        <v>2.5000487821419805E-3</v>
      </c>
      <c r="Q240" s="23">
        <v>13577586.289999999</v>
      </c>
      <c r="R240" s="67">
        <v>45993</v>
      </c>
      <c r="S240" s="6" t="s">
        <v>74</v>
      </c>
      <c r="T240" s="10" t="s">
        <v>569</v>
      </c>
      <c r="U240" s="66">
        <f t="shared" si="19"/>
        <v>0</v>
      </c>
      <c r="V240" s="8"/>
      <c r="W240" s="367" t="str">
        <f t="shared" si="64"/>
        <v>No Due</v>
      </c>
      <c r="X240" s="8"/>
      <c r="Y240" s="8"/>
      <c r="Z240" s="266">
        <v>9774259</v>
      </c>
      <c r="AA240" s="41">
        <v>1284300</v>
      </c>
      <c r="AB240" s="41">
        <v>0</v>
      </c>
      <c r="AC240" s="41">
        <v>68400</v>
      </c>
      <c r="AD240" s="41">
        <v>165600</v>
      </c>
      <c r="AE240" s="236">
        <f t="shared" si="48"/>
        <v>11292559</v>
      </c>
      <c r="AF240" s="239">
        <f t="shared" si="60"/>
        <v>238300</v>
      </c>
      <c r="AG240" s="237">
        <f>AF240-AH240</f>
        <v>186300</v>
      </c>
      <c r="AH240" s="41">
        <v>52000</v>
      </c>
      <c r="AI240" s="41"/>
    </row>
    <row r="241" spans="1:35" ht="30" customHeight="1" x14ac:dyDescent="0.3">
      <c r="A241" s="3">
        <f t="shared" si="63"/>
        <v>240</v>
      </c>
      <c r="B241" s="327" t="s">
        <v>697</v>
      </c>
      <c r="C241" s="46">
        <v>45988</v>
      </c>
      <c r="D241" s="146" t="s">
        <v>288</v>
      </c>
      <c r="E241" s="331" t="s">
        <v>757</v>
      </c>
      <c r="F241" s="146" t="s">
        <v>289</v>
      </c>
      <c r="G241" s="147">
        <v>36</v>
      </c>
      <c r="H241" s="8" t="s">
        <v>287</v>
      </c>
      <c r="I241" s="24" t="s">
        <v>762</v>
      </c>
      <c r="J241" s="162">
        <v>529417.99</v>
      </c>
      <c r="K241" s="43">
        <f t="shared" ref="K241:K249" si="66">ROUND(IF(G241=36,J241*9%,0),0)</f>
        <v>47648</v>
      </c>
      <c r="L241" s="40">
        <f t="shared" ref="L241:L249" si="67">ROUND(IF(G241=36,J241*9%,0),0)</f>
        <v>47648</v>
      </c>
      <c r="M241" s="40">
        <f t="shared" ref="M241:M249" si="68">ROUND(IF(G241=36,J241*0%,J241*18%),0)</f>
        <v>0</v>
      </c>
      <c r="N241" s="406">
        <f t="shared" ref="N241:N249" si="69">J241+K241+L241+M241</f>
        <v>624713.99</v>
      </c>
      <c r="O241" s="21">
        <f t="shared" si="65"/>
        <v>1323.544974999968</v>
      </c>
      <c r="P241" s="9">
        <f>O241/J241</f>
        <v>2.4999999999999393E-3</v>
      </c>
      <c r="Q241" s="23">
        <f>N241-(J241*0.25%)</f>
        <v>623390.44502500002</v>
      </c>
      <c r="R241" s="67">
        <v>45997</v>
      </c>
      <c r="S241" s="6" t="s">
        <v>74</v>
      </c>
      <c r="T241" s="10" t="s">
        <v>322</v>
      </c>
      <c r="U241" s="66">
        <f t="shared" si="19"/>
        <v>0</v>
      </c>
      <c r="V241" s="8"/>
      <c r="W241" s="367" t="str">
        <f t="shared" si="64"/>
        <v>No Due</v>
      </c>
      <c r="X241" s="8"/>
      <c r="Y241" s="8"/>
      <c r="Z241" s="266">
        <v>422000</v>
      </c>
      <c r="AA241" s="41">
        <f>124082-AA242-AA243</f>
        <v>50082</v>
      </c>
      <c r="AB241" s="41">
        <v>0</v>
      </c>
      <c r="AC241" s="41">
        <v>0</v>
      </c>
      <c r="AD241" s="41">
        <v>0</v>
      </c>
      <c r="AE241" s="236">
        <f t="shared" si="48"/>
        <v>472082</v>
      </c>
      <c r="AF241" s="239">
        <f t="shared" si="60"/>
        <v>57335.989999999991</v>
      </c>
      <c r="AG241" s="41"/>
      <c r="AH241" s="41"/>
      <c r="AI241" s="41"/>
    </row>
    <row r="242" spans="1:35" ht="30" customHeight="1" x14ac:dyDescent="0.3">
      <c r="A242" s="3">
        <f t="shared" si="63"/>
        <v>241</v>
      </c>
      <c r="B242" s="327" t="s">
        <v>697</v>
      </c>
      <c r="C242" s="46">
        <v>45988</v>
      </c>
      <c r="D242" s="146" t="s">
        <v>288</v>
      </c>
      <c r="E242" s="331" t="s">
        <v>758</v>
      </c>
      <c r="F242" s="146" t="s">
        <v>289</v>
      </c>
      <c r="G242" s="147">
        <v>36</v>
      </c>
      <c r="H242" s="8" t="s">
        <v>287</v>
      </c>
      <c r="I242" s="24" t="s">
        <v>763</v>
      </c>
      <c r="J242" s="162">
        <v>144554</v>
      </c>
      <c r="K242" s="43">
        <f t="shared" si="66"/>
        <v>13010</v>
      </c>
      <c r="L242" s="40">
        <f t="shared" si="67"/>
        <v>13010</v>
      </c>
      <c r="M242" s="40">
        <f t="shared" si="68"/>
        <v>0</v>
      </c>
      <c r="N242" s="406">
        <f t="shared" si="69"/>
        <v>170574</v>
      </c>
      <c r="O242" s="21">
        <f t="shared" si="65"/>
        <v>361.38500000000931</v>
      </c>
      <c r="P242" s="9">
        <f>O242/J242</f>
        <v>2.5000000000000642E-3</v>
      </c>
      <c r="Q242" s="23">
        <f>N242-(J242*0.25%)</f>
        <v>170212.61499999999</v>
      </c>
      <c r="R242" s="67">
        <v>45997</v>
      </c>
      <c r="S242" s="6" t="s">
        <v>74</v>
      </c>
      <c r="T242" s="10" t="s">
        <v>322</v>
      </c>
      <c r="U242" s="66">
        <f t="shared" si="19"/>
        <v>0</v>
      </c>
      <c r="V242" s="8"/>
      <c r="W242" s="367" t="str">
        <f t="shared" si="64"/>
        <v>No Due</v>
      </c>
      <c r="X242" s="8"/>
      <c r="Y242" s="8"/>
      <c r="Z242" s="266">
        <v>125112</v>
      </c>
      <c r="AA242" s="41">
        <v>54000</v>
      </c>
      <c r="AB242" s="41">
        <v>0</v>
      </c>
      <c r="AC242" s="41">
        <v>0</v>
      </c>
      <c r="AD242" s="41">
        <v>0</v>
      </c>
      <c r="AE242" s="236">
        <f t="shared" si="48"/>
        <v>179112</v>
      </c>
      <c r="AF242" s="239">
        <f t="shared" si="60"/>
        <v>-34558</v>
      </c>
      <c r="AG242" s="41"/>
      <c r="AH242" s="41"/>
      <c r="AI242" s="41"/>
    </row>
    <row r="243" spans="1:35" ht="30" customHeight="1" x14ac:dyDescent="0.3">
      <c r="A243" s="3">
        <f t="shared" si="63"/>
        <v>242</v>
      </c>
      <c r="B243" s="327" t="s">
        <v>697</v>
      </c>
      <c r="C243" s="46">
        <v>45988</v>
      </c>
      <c r="D243" s="146" t="s">
        <v>288</v>
      </c>
      <c r="E243" s="331" t="s">
        <v>759</v>
      </c>
      <c r="F243" s="146" t="s">
        <v>289</v>
      </c>
      <c r="G243" s="147">
        <v>36</v>
      </c>
      <c r="H243" s="8" t="s">
        <v>287</v>
      </c>
      <c r="I243" s="24" t="s">
        <v>762</v>
      </c>
      <c r="J243" s="162">
        <v>160287</v>
      </c>
      <c r="K243" s="43">
        <f t="shared" si="66"/>
        <v>14426</v>
      </c>
      <c r="L243" s="40">
        <f t="shared" si="67"/>
        <v>14426</v>
      </c>
      <c r="M243" s="40">
        <f t="shared" si="68"/>
        <v>0</v>
      </c>
      <c r="N243" s="406">
        <f t="shared" si="69"/>
        <v>189139</v>
      </c>
      <c r="O243" s="21">
        <f t="shared" si="65"/>
        <v>400.71749999999884</v>
      </c>
      <c r="P243" s="9">
        <f>O243/J243</f>
        <v>2.4999999999999927E-3</v>
      </c>
      <c r="Q243" s="23">
        <f>N243-(J243*0.25%)</f>
        <v>188738.2825</v>
      </c>
      <c r="R243" s="67">
        <v>45997</v>
      </c>
      <c r="S243" s="6" t="s">
        <v>74</v>
      </c>
      <c r="T243" s="10" t="s">
        <v>322</v>
      </c>
      <c r="U243" s="66">
        <f t="shared" si="19"/>
        <v>0</v>
      </c>
      <c r="V243" s="8"/>
      <c r="W243" s="367" t="str">
        <f t="shared" si="64"/>
        <v>No Due</v>
      </c>
      <c r="X243" s="8"/>
      <c r="Y243" s="8"/>
      <c r="Z243" s="266">
        <v>61882</v>
      </c>
      <c r="AA243" s="41">
        <v>20000</v>
      </c>
      <c r="AB243" s="41">
        <v>21721</v>
      </c>
      <c r="AC243" s="41">
        <v>2550</v>
      </c>
      <c r="AD243" s="41">
        <v>0</v>
      </c>
      <c r="AE243" s="236">
        <f t="shared" si="48"/>
        <v>106153</v>
      </c>
      <c r="AF243" s="239">
        <f t="shared" si="60"/>
        <v>54134</v>
      </c>
      <c r="AG243" s="41"/>
      <c r="AH243" s="8"/>
      <c r="AI243" s="8"/>
    </row>
    <row r="244" spans="1:35" ht="30" hidden="1" customHeight="1" x14ac:dyDescent="0.3">
      <c r="A244" s="3">
        <f t="shared" si="63"/>
        <v>243</v>
      </c>
      <c r="B244" s="370" t="s">
        <v>764</v>
      </c>
      <c r="C244" s="46">
        <v>45992</v>
      </c>
      <c r="D244" s="164" t="s">
        <v>70</v>
      </c>
      <c r="E244" s="331" t="s">
        <v>765</v>
      </c>
      <c r="F244" s="260" t="s">
        <v>134</v>
      </c>
      <c r="G244" s="261">
        <v>10</v>
      </c>
      <c r="H244" s="8" t="s">
        <v>39</v>
      </c>
      <c r="I244" s="24" t="s">
        <v>767</v>
      </c>
      <c r="J244" s="162">
        <v>39001</v>
      </c>
      <c r="K244" s="43">
        <f t="shared" si="66"/>
        <v>0</v>
      </c>
      <c r="L244" s="40">
        <f t="shared" si="67"/>
        <v>0</v>
      </c>
      <c r="M244" s="40">
        <f t="shared" si="68"/>
        <v>7020</v>
      </c>
      <c r="N244" s="406">
        <f t="shared" si="69"/>
        <v>46021</v>
      </c>
      <c r="O244" s="49">
        <f>J244*2%</f>
        <v>780.02</v>
      </c>
      <c r="P244" s="9">
        <f t="shared" ref="P244" si="70">O244/J244</f>
        <v>0.02</v>
      </c>
      <c r="Q244" s="49">
        <f>27292.32+7020</f>
        <v>34312.32</v>
      </c>
      <c r="R244" s="391" t="s">
        <v>876</v>
      </c>
      <c r="S244" s="6" t="s">
        <v>74</v>
      </c>
      <c r="T244" s="10" t="s">
        <v>136</v>
      </c>
      <c r="U244" s="66">
        <f t="shared" si="19"/>
        <v>10928.660000000003</v>
      </c>
      <c r="V244" s="8"/>
      <c r="W244" s="367" t="str">
        <f t="shared" ref="W244:W249" si="71">IF(U244=0,"No Due","Outstanding")</f>
        <v>Outstanding</v>
      </c>
      <c r="X244" s="8"/>
      <c r="Y244" s="8"/>
      <c r="Z244" s="266">
        <v>34201</v>
      </c>
      <c r="AA244" s="41">
        <v>3750</v>
      </c>
      <c r="AB244" s="41">
        <v>0</v>
      </c>
      <c r="AC244" s="41">
        <v>200</v>
      </c>
      <c r="AD244" s="41">
        <v>0</v>
      </c>
      <c r="AE244" s="236">
        <f t="shared" si="48"/>
        <v>38151</v>
      </c>
      <c r="AF244" s="239">
        <f t="shared" ref="AF244:AF248" si="72">J244-AE244</f>
        <v>850</v>
      </c>
      <c r="AG244" s="41"/>
      <c r="AH244" s="8"/>
      <c r="AI244" s="8"/>
    </row>
    <row r="245" spans="1:35" s="37" customFormat="1" ht="30" hidden="1" customHeight="1" x14ac:dyDescent="0.3">
      <c r="A245" s="3">
        <f t="shared" si="63"/>
        <v>244</v>
      </c>
      <c r="B245" s="370" t="s">
        <v>764</v>
      </c>
      <c r="C245" s="46">
        <v>45992</v>
      </c>
      <c r="D245" s="164" t="s">
        <v>70</v>
      </c>
      <c r="E245" s="376" t="s">
        <v>766</v>
      </c>
      <c r="F245" s="260" t="s">
        <v>134</v>
      </c>
      <c r="G245" s="261">
        <v>10</v>
      </c>
      <c r="H245" s="8" t="s">
        <v>39</v>
      </c>
      <c r="I245" s="24" t="s">
        <v>767</v>
      </c>
      <c r="J245" s="162">
        <v>60709</v>
      </c>
      <c r="K245" s="43">
        <f t="shared" si="66"/>
        <v>0</v>
      </c>
      <c r="L245" s="40">
        <f t="shared" si="67"/>
        <v>0</v>
      </c>
      <c r="M245" s="40">
        <f t="shared" si="68"/>
        <v>10928</v>
      </c>
      <c r="N245" s="406">
        <f t="shared" si="69"/>
        <v>71637</v>
      </c>
      <c r="O245" s="49">
        <f>J245*10%</f>
        <v>6070.9000000000005</v>
      </c>
      <c r="P245" s="9">
        <f t="shared" ref="P245:P250" si="73">O245/J245</f>
        <v>0.1</v>
      </c>
      <c r="Q245" s="386">
        <f>60790.23+10927.68</f>
        <v>71717.91</v>
      </c>
      <c r="R245" s="391" t="s">
        <v>875</v>
      </c>
      <c r="S245" s="6" t="s">
        <v>74</v>
      </c>
      <c r="T245" s="10" t="s">
        <v>136</v>
      </c>
      <c r="U245" s="66">
        <f t="shared" si="19"/>
        <v>-6151.8099999999977</v>
      </c>
      <c r="V245" s="8"/>
      <c r="W245" s="367" t="str">
        <f t="shared" si="71"/>
        <v>Outstanding</v>
      </c>
      <c r="X245" s="31"/>
      <c r="Y245" s="8"/>
      <c r="Z245" s="266">
        <v>55909</v>
      </c>
      <c r="AA245" s="41">
        <v>3750</v>
      </c>
      <c r="AB245" s="41">
        <v>0</v>
      </c>
      <c r="AC245" s="41">
        <v>200</v>
      </c>
      <c r="AD245" s="41">
        <v>0</v>
      </c>
      <c r="AE245" s="236">
        <f t="shared" si="48"/>
        <v>59859</v>
      </c>
      <c r="AF245" s="239">
        <f t="shared" si="72"/>
        <v>850</v>
      </c>
      <c r="AG245" s="41"/>
      <c r="AH245" s="8"/>
      <c r="AI245" s="8"/>
    </row>
    <row r="246" spans="1:35" ht="30" hidden="1" customHeight="1" x14ac:dyDescent="0.3">
      <c r="A246" s="3">
        <f t="shared" si="63"/>
        <v>245</v>
      </c>
      <c r="B246" s="370" t="s">
        <v>764</v>
      </c>
      <c r="C246" s="46">
        <v>45993</v>
      </c>
      <c r="D246" s="46" t="s">
        <v>33</v>
      </c>
      <c r="E246" s="331" t="s">
        <v>768</v>
      </c>
      <c r="F246" s="260" t="s">
        <v>34</v>
      </c>
      <c r="G246" s="147">
        <v>36</v>
      </c>
      <c r="H246" s="8" t="s">
        <v>55</v>
      </c>
      <c r="I246" s="24" t="s">
        <v>772</v>
      </c>
      <c r="J246" s="45">
        <f>(72050*23)+(53350*1)+(99751*8)</f>
        <v>2508508</v>
      </c>
      <c r="K246" s="148">
        <f t="shared" si="66"/>
        <v>225766</v>
      </c>
      <c r="L246" s="40">
        <f t="shared" si="67"/>
        <v>225766</v>
      </c>
      <c r="M246" s="40">
        <f t="shared" si="68"/>
        <v>0</v>
      </c>
      <c r="N246" s="406">
        <f t="shared" si="69"/>
        <v>2960040</v>
      </c>
      <c r="O246" s="49">
        <v>6271</v>
      </c>
      <c r="P246" s="9">
        <f t="shared" si="73"/>
        <v>2.4998923662990112E-3</v>
      </c>
      <c r="Q246" s="23">
        <v>2953769</v>
      </c>
      <c r="R246" s="67">
        <v>46021</v>
      </c>
      <c r="S246" s="6" t="s">
        <v>74</v>
      </c>
      <c r="T246" s="10" t="s">
        <v>124</v>
      </c>
      <c r="U246" s="66">
        <f t="shared" si="19"/>
        <v>0</v>
      </c>
      <c r="V246" s="8"/>
      <c r="W246" s="367" t="str">
        <f t="shared" si="71"/>
        <v>No Due</v>
      </c>
      <c r="X246" s="8"/>
      <c r="Y246" s="8"/>
      <c r="Z246" s="266">
        <v>2190604</v>
      </c>
      <c r="AA246" s="41">
        <v>120000</v>
      </c>
      <c r="AB246" s="41">
        <v>0</v>
      </c>
      <c r="AC246" s="41">
        <v>6400</v>
      </c>
      <c r="AD246" s="41">
        <v>0</v>
      </c>
      <c r="AE246" s="236">
        <f t="shared" si="48"/>
        <v>2317004</v>
      </c>
      <c r="AF246" s="239">
        <f t="shared" si="72"/>
        <v>191504</v>
      </c>
      <c r="AG246" s="41"/>
      <c r="AH246" s="8"/>
      <c r="AI246" s="8"/>
    </row>
    <row r="247" spans="1:35" ht="30" hidden="1" customHeight="1" x14ac:dyDescent="0.3">
      <c r="A247" s="3">
        <f t="shared" si="63"/>
        <v>246</v>
      </c>
      <c r="B247" s="370" t="s">
        <v>764</v>
      </c>
      <c r="C247" s="46">
        <v>45993</v>
      </c>
      <c r="D247" s="46" t="s">
        <v>33</v>
      </c>
      <c r="E247" s="376" t="s">
        <v>769</v>
      </c>
      <c r="F247" s="260" t="s">
        <v>34</v>
      </c>
      <c r="G247" s="147">
        <v>36</v>
      </c>
      <c r="H247" s="8" t="s">
        <v>55</v>
      </c>
      <c r="I247" s="24" t="s">
        <v>773</v>
      </c>
      <c r="J247" s="162">
        <v>20052</v>
      </c>
      <c r="K247" s="148">
        <f t="shared" si="66"/>
        <v>1805</v>
      </c>
      <c r="L247" s="40">
        <f t="shared" si="67"/>
        <v>1805</v>
      </c>
      <c r="M247" s="40">
        <f t="shared" si="68"/>
        <v>0</v>
      </c>
      <c r="N247" s="406">
        <f t="shared" si="69"/>
        <v>23662</v>
      </c>
      <c r="O247" s="49">
        <v>50</v>
      </c>
      <c r="P247" s="9">
        <f t="shared" si="73"/>
        <v>2.4935168561739476E-3</v>
      </c>
      <c r="Q247" s="23">
        <v>23612</v>
      </c>
      <c r="R247" s="67">
        <v>46021</v>
      </c>
      <c r="S247" s="6" t="s">
        <v>74</v>
      </c>
      <c r="T247" s="10" t="s">
        <v>124</v>
      </c>
      <c r="U247" s="66">
        <f t="shared" si="19"/>
        <v>0</v>
      </c>
      <c r="V247" s="8"/>
      <c r="W247" s="367" t="str">
        <f t="shared" si="71"/>
        <v>No Due</v>
      </c>
      <c r="X247" s="8"/>
      <c r="Y247" s="8"/>
      <c r="Z247" s="266">
        <v>0</v>
      </c>
      <c r="AA247" s="41">
        <v>0</v>
      </c>
      <c r="AB247" s="41">
        <v>0</v>
      </c>
      <c r="AC247" s="41">
        <v>0</v>
      </c>
      <c r="AD247" s="41">
        <v>0</v>
      </c>
      <c r="AE247" s="236">
        <f t="shared" si="48"/>
        <v>0</v>
      </c>
      <c r="AF247" s="239">
        <f t="shared" si="72"/>
        <v>20052</v>
      </c>
      <c r="AG247" s="237">
        <f t="shared" ref="AG247" si="74">AF247</f>
        <v>20052</v>
      </c>
      <c r="AH247" s="8"/>
      <c r="AI247" s="8"/>
    </row>
    <row r="248" spans="1:35" ht="30" hidden="1" customHeight="1" x14ac:dyDescent="0.3">
      <c r="A248" s="3">
        <f t="shared" si="63"/>
        <v>247</v>
      </c>
      <c r="B248" s="370" t="s">
        <v>764</v>
      </c>
      <c r="C248" s="46">
        <v>45993</v>
      </c>
      <c r="D248" s="46" t="s">
        <v>33</v>
      </c>
      <c r="E248" s="331" t="s">
        <v>770</v>
      </c>
      <c r="F248" s="260" t="s">
        <v>34</v>
      </c>
      <c r="G248" s="261">
        <v>36</v>
      </c>
      <c r="H248" s="8" t="s">
        <v>55</v>
      </c>
      <c r="I248" s="24" t="s">
        <v>774</v>
      </c>
      <c r="J248" s="162">
        <v>89000</v>
      </c>
      <c r="K248" s="148">
        <f t="shared" si="66"/>
        <v>8010</v>
      </c>
      <c r="L248" s="40">
        <f t="shared" si="67"/>
        <v>8010</v>
      </c>
      <c r="M248" s="40">
        <f t="shared" si="68"/>
        <v>0</v>
      </c>
      <c r="N248" s="406">
        <f t="shared" si="69"/>
        <v>105020</v>
      </c>
      <c r="O248" s="49">
        <v>223</v>
      </c>
      <c r="P248" s="9">
        <f t="shared" si="73"/>
        <v>2.5056179775280901E-3</v>
      </c>
      <c r="Q248" s="23">
        <v>104797</v>
      </c>
      <c r="R248" s="67">
        <v>46021</v>
      </c>
      <c r="S248" s="6" t="s">
        <v>74</v>
      </c>
      <c r="T248" s="10" t="s">
        <v>124</v>
      </c>
      <c r="U248" s="66">
        <f t="shared" si="19"/>
        <v>0</v>
      </c>
      <c r="V248" s="8"/>
      <c r="W248" s="367" t="str">
        <f t="shared" si="71"/>
        <v>No Due</v>
      </c>
      <c r="X248" s="8"/>
      <c r="Y248" s="8"/>
      <c r="Z248" s="266">
        <v>80872</v>
      </c>
      <c r="AA248" s="41">
        <v>3750</v>
      </c>
      <c r="AB248" s="41">
        <v>0</v>
      </c>
      <c r="AC248" s="41">
        <v>200</v>
      </c>
      <c r="AD248" s="41">
        <v>0</v>
      </c>
      <c r="AE248" s="236">
        <f t="shared" si="48"/>
        <v>84822</v>
      </c>
      <c r="AF248" s="239">
        <f t="shared" si="72"/>
        <v>4178</v>
      </c>
      <c r="AG248" s="41"/>
      <c r="AH248" s="8"/>
      <c r="AI248" s="8"/>
    </row>
    <row r="249" spans="1:35" ht="30" hidden="1" customHeight="1" x14ac:dyDescent="0.3">
      <c r="A249" s="3">
        <f t="shared" si="63"/>
        <v>248</v>
      </c>
      <c r="B249" s="370" t="s">
        <v>764</v>
      </c>
      <c r="C249" s="46">
        <v>45993</v>
      </c>
      <c r="D249" s="60" t="s">
        <v>33</v>
      </c>
      <c r="E249" s="376" t="s">
        <v>771</v>
      </c>
      <c r="F249" s="260" t="s">
        <v>37</v>
      </c>
      <c r="G249" s="261">
        <v>36</v>
      </c>
      <c r="H249" s="8" t="s">
        <v>38</v>
      </c>
      <c r="I249" s="24" t="s">
        <v>775</v>
      </c>
      <c r="J249" s="45">
        <f>158333+(190000*3)+109000</f>
        <v>837333</v>
      </c>
      <c r="K249" s="43">
        <f t="shared" si="66"/>
        <v>75360</v>
      </c>
      <c r="L249" s="40">
        <f t="shared" si="67"/>
        <v>75360</v>
      </c>
      <c r="M249" s="40">
        <f t="shared" si="68"/>
        <v>0</v>
      </c>
      <c r="N249" s="406">
        <f t="shared" si="69"/>
        <v>988053</v>
      </c>
      <c r="O249" s="49">
        <f>N249-Q249</f>
        <v>83733</v>
      </c>
      <c r="P249" s="9">
        <f>O249/J249</f>
        <v>9.99996417196026E-2</v>
      </c>
      <c r="Q249" s="386">
        <v>904320</v>
      </c>
      <c r="R249" s="67">
        <v>46057</v>
      </c>
      <c r="S249" s="8" t="s">
        <v>74</v>
      </c>
      <c r="T249" s="20" t="s">
        <v>124</v>
      </c>
      <c r="U249" s="66">
        <f t="shared" si="19"/>
        <v>0</v>
      </c>
      <c r="V249" s="8"/>
      <c r="W249" s="367" t="str">
        <f t="shared" si="71"/>
        <v>No Due</v>
      </c>
      <c r="X249" s="8"/>
      <c r="Y249" s="8"/>
      <c r="Z249" s="266">
        <v>700818</v>
      </c>
      <c r="AA249" s="41">
        <v>18750</v>
      </c>
      <c r="AB249" s="41">
        <v>0</v>
      </c>
      <c r="AC249" s="41">
        <v>1000</v>
      </c>
      <c r="AD249" s="41">
        <v>78102</v>
      </c>
      <c r="AE249" s="236">
        <f t="shared" si="48"/>
        <v>798670</v>
      </c>
      <c r="AF249" s="239">
        <f>J249-AE249</f>
        <v>38663</v>
      </c>
      <c r="AG249" s="41"/>
      <c r="AH249" s="8"/>
      <c r="AI249" s="8"/>
    </row>
    <row r="250" spans="1:35" ht="30" hidden="1" customHeight="1" x14ac:dyDescent="0.3">
      <c r="A250" s="3">
        <f t="shared" si="63"/>
        <v>249</v>
      </c>
      <c r="B250" s="370" t="s">
        <v>764</v>
      </c>
      <c r="C250" s="46">
        <v>45994</v>
      </c>
      <c r="D250" s="380" t="s">
        <v>288</v>
      </c>
      <c r="E250" s="376" t="s">
        <v>776</v>
      </c>
      <c r="F250" s="306" t="s">
        <v>626</v>
      </c>
      <c r="G250" s="261">
        <v>24</v>
      </c>
      <c r="H250" s="8" t="s">
        <v>627</v>
      </c>
      <c r="I250" s="24" t="s">
        <v>777</v>
      </c>
      <c r="J250" s="45">
        <v>6231526</v>
      </c>
      <c r="K250" s="43">
        <f t="shared" ref="K250:K257" si="75">ROUND(IF(G250=36,J250*9%,0),0)</f>
        <v>0</v>
      </c>
      <c r="L250" s="40">
        <f t="shared" ref="L250:L257" si="76">ROUND(IF(G250=36,J250*9%,0),0)</f>
        <v>0</v>
      </c>
      <c r="M250" s="40">
        <f t="shared" ref="M250:M257" si="77">ROUND(IF(G250=36,J250*0%,J250*18%),0)</f>
        <v>1121675</v>
      </c>
      <c r="N250" s="406">
        <f t="shared" ref="N250:N257" si="78">J250+K250+L250+M250</f>
        <v>7353201</v>
      </c>
      <c r="O250" s="21">
        <f>J250*2%</f>
        <v>124630.52</v>
      </c>
      <c r="P250" s="349">
        <f t="shared" si="73"/>
        <v>0.02</v>
      </c>
      <c r="Q250" s="23">
        <f>6000000+1225570</f>
        <v>7225570</v>
      </c>
      <c r="R250" s="67">
        <v>46024</v>
      </c>
      <c r="S250" s="6" t="s">
        <v>74</v>
      </c>
      <c r="T250" s="20" t="s">
        <v>147</v>
      </c>
      <c r="U250" s="66">
        <f>ROUND(N250-O250-Q250-3000,0)</f>
        <v>0</v>
      </c>
      <c r="V250" s="385"/>
      <c r="W250" s="7" t="str">
        <f t="shared" ref="W250" si="79">IF(U250=0,"No Due","Outstanding")</f>
        <v>No Due</v>
      </c>
      <c r="X250" s="8"/>
      <c r="Y250" s="8"/>
      <c r="Z250" s="266">
        <v>4881951</v>
      </c>
      <c r="AA250" s="41">
        <v>824927</v>
      </c>
      <c r="AB250" s="41">
        <v>0</v>
      </c>
      <c r="AC250" s="41">
        <v>49400</v>
      </c>
      <c r="AD250" s="41">
        <v>178505</v>
      </c>
      <c r="AE250" s="236">
        <f t="shared" si="48"/>
        <v>5934783</v>
      </c>
      <c r="AF250" s="239">
        <f>J250-AE250</f>
        <v>296743</v>
      </c>
      <c r="AG250" s="41"/>
      <c r="AH250" s="8"/>
      <c r="AI250" s="237" t="s">
        <v>1003</v>
      </c>
    </row>
    <row r="251" spans="1:35" ht="30" hidden="1" customHeight="1" x14ac:dyDescent="0.3">
      <c r="A251" s="3">
        <f t="shared" si="63"/>
        <v>250</v>
      </c>
      <c r="B251" s="370" t="s">
        <v>764</v>
      </c>
      <c r="C251" s="46">
        <v>46002</v>
      </c>
      <c r="D251" s="167" t="s">
        <v>70</v>
      </c>
      <c r="E251" s="331" t="s">
        <v>778</v>
      </c>
      <c r="F251" s="167" t="s">
        <v>138</v>
      </c>
      <c r="G251" s="168">
        <v>36</v>
      </c>
      <c r="H251" s="8" t="s">
        <v>49</v>
      </c>
      <c r="I251" s="24" t="s">
        <v>782</v>
      </c>
      <c r="J251" s="39">
        <v>27767674</v>
      </c>
      <c r="K251" s="169">
        <f t="shared" si="75"/>
        <v>2499091</v>
      </c>
      <c r="L251" s="40">
        <f t="shared" si="76"/>
        <v>2499091</v>
      </c>
      <c r="M251" s="40">
        <f t="shared" si="77"/>
        <v>0</v>
      </c>
      <c r="N251" s="407">
        <f t="shared" si="78"/>
        <v>32765856</v>
      </c>
      <c r="O251" s="379">
        <v>69419</v>
      </c>
      <c r="P251" s="9">
        <f t="shared" ref="P251:P256" si="80">O251/J251</f>
        <v>2.4999933375766366E-3</v>
      </c>
      <c r="Q251" s="379">
        <v>32696436.32</v>
      </c>
      <c r="R251" s="67">
        <v>46021</v>
      </c>
      <c r="S251" s="6" t="s">
        <v>74</v>
      </c>
      <c r="T251" s="10" t="s">
        <v>96</v>
      </c>
      <c r="U251" s="66">
        <f t="shared" si="19"/>
        <v>0.67999999970197678</v>
      </c>
      <c r="V251" s="8"/>
      <c r="W251" s="383" t="s">
        <v>811</v>
      </c>
      <c r="X251" s="8"/>
      <c r="Y251" s="8"/>
      <c r="Z251" s="266">
        <v>25143751</v>
      </c>
      <c r="AA251" s="41">
        <v>2182467</v>
      </c>
      <c r="AB251" s="41">
        <v>756</v>
      </c>
      <c r="AC251" s="41">
        <v>116200</v>
      </c>
      <c r="AD251" s="41"/>
      <c r="AE251" s="236">
        <f t="shared" si="48"/>
        <v>27443174</v>
      </c>
      <c r="AF251" s="239">
        <f t="shared" ref="AF251" si="81">J251-AE251</f>
        <v>324500</v>
      </c>
      <c r="AG251" s="237">
        <f t="shared" ref="AG251:AG255" si="82">AF251</f>
        <v>324500</v>
      </c>
      <c r="AH251" s="8"/>
      <c r="AI251" s="237"/>
    </row>
    <row r="252" spans="1:35" ht="30" hidden="1" customHeight="1" x14ac:dyDescent="0.3">
      <c r="A252" s="3">
        <f t="shared" si="63"/>
        <v>251</v>
      </c>
      <c r="B252" s="370" t="s">
        <v>764</v>
      </c>
      <c r="C252" s="46">
        <v>46002</v>
      </c>
      <c r="D252" s="167" t="s">
        <v>70</v>
      </c>
      <c r="E252" s="331" t="s">
        <v>779</v>
      </c>
      <c r="F252" s="167" t="s">
        <v>138</v>
      </c>
      <c r="G252" s="168">
        <v>36</v>
      </c>
      <c r="H252" s="8" t="s">
        <v>49</v>
      </c>
      <c r="I252" s="24" t="s">
        <v>784</v>
      </c>
      <c r="J252" s="39">
        <v>548277</v>
      </c>
      <c r="K252" s="169">
        <f t="shared" si="75"/>
        <v>49345</v>
      </c>
      <c r="L252" s="40">
        <f t="shared" si="76"/>
        <v>49345</v>
      </c>
      <c r="M252" s="40">
        <f t="shared" si="77"/>
        <v>0</v>
      </c>
      <c r="N252" s="407">
        <f t="shared" si="78"/>
        <v>646967</v>
      </c>
      <c r="O252" s="49">
        <v>1371</v>
      </c>
      <c r="P252" s="9">
        <f t="shared" si="80"/>
        <v>2.5005608478925797E-3</v>
      </c>
      <c r="Q252" s="379">
        <v>645595.86</v>
      </c>
      <c r="R252" s="67">
        <v>46021</v>
      </c>
      <c r="S252" s="6" t="s">
        <v>74</v>
      </c>
      <c r="T252" s="10" t="s">
        <v>96</v>
      </c>
      <c r="U252" s="66">
        <f t="shared" si="19"/>
        <v>0.14000000001396984</v>
      </c>
      <c r="V252" s="8"/>
      <c r="W252" s="383" t="s">
        <v>811</v>
      </c>
      <c r="X252" s="8"/>
      <c r="Y252" s="8"/>
      <c r="Z252" s="266">
        <v>543327</v>
      </c>
      <c r="AA252" s="41"/>
      <c r="AB252" s="41"/>
      <c r="AC252" s="41"/>
      <c r="AD252" s="41"/>
      <c r="AE252" s="236">
        <f t="shared" si="48"/>
        <v>543327</v>
      </c>
      <c r="AF252" s="239">
        <f>J252-AE252</f>
        <v>4950</v>
      </c>
      <c r="AG252" s="237">
        <f t="shared" si="82"/>
        <v>4950</v>
      </c>
      <c r="AH252" s="8"/>
      <c r="AI252" s="237"/>
    </row>
    <row r="253" spans="1:35" ht="30" hidden="1" customHeight="1" x14ac:dyDescent="0.3">
      <c r="A253" s="3">
        <f t="shared" si="63"/>
        <v>252</v>
      </c>
      <c r="B253" s="370" t="s">
        <v>764</v>
      </c>
      <c r="C253" s="46">
        <v>46002</v>
      </c>
      <c r="D253" s="167" t="s">
        <v>70</v>
      </c>
      <c r="E253" s="331" t="s">
        <v>780</v>
      </c>
      <c r="F253" s="167" t="s">
        <v>138</v>
      </c>
      <c r="G253" s="168">
        <v>36</v>
      </c>
      <c r="H253" s="8" t="s">
        <v>49</v>
      </c>
      <c r="I253" s="24" t="s">
        <v>785</v>
      </c>
      <c r="J253" s="39">
        <v>866740</v>
      </c>
      <c r="K253" s="169">
        <f t="shared" si="75"/>
        <v>78007</v>
      </c>
      <c r="L253" s="40">
        <f t="shared" si="76"/>
        <v>78007</v>
      </c>
      <c r="M253" s="40">
        <f t="shared" si="77"/>
        <v>0</v>
      </c>
      <c r="N253" s="407">
        <f t="shared" si="78"/>
        <v>1022754</v>
      </c>
      <c r="O253" s="379">
        <v>2167</v>
      </c>
      <c r="P253" s="9">
        <f t="shared" si="80"/>
        <v>2.5001730622793458E-3</v>
      </c>
      <c r="Q253" s="49">
        <v>1020586.2</v>
      </c>
      <c r="R253" s="67">
        <v>46021</v>
      </c>
      <c r="S253" s="6" t="s">
        <v>74</v>
      </c>
      <c r="T253" s="10" t="s">
        <v>96</v>
      </c>
      <c r="U253" s="66">
        <f t="shared" si="19"/>
        <v>0.80000000004656613</v>
      </c>
      <c r="V253" s="8"/>
      <c r="W253" s="383" t="s">
        <v>811</v>
      </c>
      <c r="X253" s="8"/>
      <c r="Y253" s="8"/>
      <c r="Z253" s="266">
        <v>834290</v>
      </c>
      <c r="AA253" s="41"/>
      <c r="AB253" s="41"/>
      <c r="AC253" s="41"/>
      <c r="AD253" s="41"/>
      <c r="AE253" s="236">
        <f t="shared" si="48"/>
        <v>834290</v>
      </c>
      <c r="AF253" s="239">
        <f>J253-AE253</f>
        <v>32450</v>
      </c>
      <c r="AG253" s="237">
        <f t="shared" si="82"/>
        <v>32450</v>
      </c>
      <c r="AH253" s="8"/>
      <c r="AI253" s="237"/>
    </row>
    <row r="254" spans="1:35" ht="30" hidden="1" customHeight="1" x14ac:dyDescent="0.3">
      <c r="A254" s="3">
        <f t="shared" si="63"/>
        <v>253</v>
      </c>
      <c r="B254" s="370" t="s">
        <v>764</v>
      </c>
      <c r="C254" s="46">
        <v>46002</v>
      </c>
      <c r="D254" s="167" t="s">
        <v>70</v>
      </c>
      <c r="E254" s="331" t="s">
        <v>781</v>
      </c>
      <c r="F254" s="167" t="s">
        <v>138</v>
      </c>
      <c r="G254" s="168">
        <v>36</v>
      </c>
      <c r="H254" s="8" t="s">
        <v>49</v>
      </c>
      <c r="I254" s="24" t="s">
        <v>786</v>
      </c>
      <c r="J254" s="39">
        <v>695098</v>
      </c>
      <c r="K254" s="169">
        <f t="shared" si="75"/>
        <v>62559</v>
      </c>
      <c r="L254" s="40">
        <f t="shared" si="76"/>
        <v>62559</v>
      </c>
      <c r="M254" s="40">
        <f t="shared" si="77"/>
        <v>0</v>
      </c>
      <c r="N254" s="407">
        <f t="shared" si="78"/>
        <v>820216</v>
      </c>
      <c r="O254" s="379">
        <v>1738</v>
      </c>
      <c r="P254" s="9">
        <f t="shared" si="80"/>
        <v>2.5003668547456618E-3</v>
      </c>
      <c r="Q254" s="379">
        <v>818477.64</v>
      </c>
      <c r="R254" s="67">
        <v>46021</v>
      </c>
      <c r="S254" s="6" t="s">
        <v>74</v>
      </c>
      <c r="T254" s="10" t="s">
        <v>96</v>
      </c>
      <c r="U254" s="66">
        <f t="shared" si="19"/>
        <v>0.35999999998603016</v>
      </c>
      <c r="V254" s="8"/>
      <c r="W254" s="383" t="s">
        <v>811</v>
      </c>
      <c r="X254" s="8"/>
      <c r="Y254" s="8"/>
      <c r="Z254" s="266">
        <v>649998</v>
      </c>
      <c r="AA254" s="41"/>
      <c r="AB254" s="41"/>
      <c r="AC254" s="41"/>
      <c r="AD254" s="41"/>
      <c r="AE254" s="236">
        <f t="shared" si="48"/>
        <v>649998</v>
      </c>
      <c r="AF254" s="239">
        <f>J254-AE254</f>
        <v>45100</v>
      </c>
      <c r="AG254" s="237">
        <f t="shared" si="82"/>
        <v>45100</v>
      </c>
      <c r="AH254" s="8"/>
      <c r="AI254" s="237"/>
    </row>
    <row r="255" spans="1:35" ht="30" hidden="1" customHeight="1" x14ac:dyDescent="0.3">
      <c r="A255" s="3">
        <f t="shared" si="63"/>
        <v>254</v>
      </c>
      <c r="B255" s="370" t="s">
        <v>764</v>
      </c>
      <c r="C255" s="46">
        <v>46002</v>
      </c>
      <c r="D255" s="167" t="s">
        <v>70</v>
      </c>
      <c r="E255" s="331" t="s">
        <v>783</v>
      </c>
      <c r="F255" s="167" t="s">
        <v>138</v>
      </c>
      <c r="G255" s="168">
        <v>36</v>
      </c>
      <c r="H255" s="8" t="s">
        <v>49</v>
      </c>
      <c r="I255" s="24" t="s">
        <v>787</v>
      </c>
      <c r="J255" s="39">
        <v>60248</v>
      </c>
      <c r="K255" s="169">
        <f t="shared" si="75"/>
        <v>5422</v>
      </c>
      <c r="L255" s="40">
        <f t="shared" si="76"/>
        <v>5422</v>
      </c>
      <c r="M255" s="40">
        <f t="shared" si="77"/>
        <v>0</v>
      </c>
      <c r="N255" s="407">
        <f t="shared" si="78"/>
        <v>71092</v>
      </c>
      <c r="O255" s="8">
        <v>151</v>
      </c>
      <c r="P255" s="9">
        <f t="shared" si="80"/>
        <v>2.5063072633116452E-3</v>
      </c>
      <c r="Q255" s="379">
        <v>70941.64</v>
      </c>
      <c r="R255" s="67">
        <v>46021</v>
      </c>
      <c r="S255" s="6" t="s">
        <v>74</v>
      </c>
      <c r="T255" s="10" t="s">
        <v>96</v>
      </c>
      <c r="U255" s="66">
        <f t="shared" si="19"/>
        <v>-0.63999999999941792</v>
      </c>
      <c r="V255" s="8"/>
      <c r="W255" s="383" t="s">
        <v>811</v>
      </c>
      <c r="X255" s="8"/>
      <c r="Y255" s="8"/>
      <c r="Z255" s="266">
        <v>60248</v>
      </c>
      <c r="AA255" s="41"/>
      <c r="AB255" s="41"/>
      <c r="AC255" s="41"/>
      <c r="AD255" s="41"/>
      <c r="AE255" s="236">
        <f t="shared" si="48"/>
        <v>60248</v>
      </c>
      <c r="AF255" s="239">
        <f>J255-AE255</f>
        <v>0</v>
      </c>
      <c r="AG255" s="237">
        <f t="shared" si="82"/>
        <v>0</v>
      </c>
      <c r="AH255" s="8"/>
      <c r="AI255" s="237"/>
    </row>
    <row r="256" spans="1:35" ht="30" hidden="1" customHeight="1" x14ac:dyDescent="0.3">
      <c r="A256" s="3">
        <f t="shared" si="63"/>
        <v>255</v>
      </c>
      <c r="B256" s="370" t="s">
        <v>764</v>
      </c>
      <c r="C256" s="46">
        <v>46003</v>
      </c>
      <c r="D256" s="334" t="s">
        <v>288</v>
      </c>
      <c r="E256" s="374" t="s">
        <v>789</v>
      </c>
      <c r="F256" s="306" t="s">
        <v>626</v>
      </c>
      <c r="G256" s="261">
        <v>24</v>
      </c>
      <c r="H256" s="8" t="s">
        <v>627</v>
      </c>
      <c r="I256" s="8" t="s">
        <v>788</v>
      </c>
      <c r="J256" s="45">
        <v>-5841</v>
      </c>
      <c r="K256" s="8">
        <f t="shared" si="75"/>
        <v>0</v>
      </c>
      <c r="L256" s="8">
        <f t="shared" si="76"/>
        <v>0</v>
      </c>
      <c r="M256" s="8">
        <f t="shared" si="77"/>
        <v>-1051</v>
      </c>
      <c r="N256" s="406">
        <f t="shared" si="78"/>
        <v>-6892</v>
      </c>
      <c r="O256" s="21">
        <f>J256*2%</f>
        <v>-116.82000000000001</v>
      </c>
      <c r="P256" s="349">
        <f t="shared" si="80"/>
        <v>0.02</v>
      </c>
      <c r="Q256" s="388">
        <v>-6775</v>
      </c>
      <c r="R256" s="8"/>
      <c r="S256" s="8"/>
      <c r="T256" s="20"/>
      <c r="U256" s="66">
        <f>ROUND(N256-O256-Q256,0)</f>
        <v>0</v>
      </c>
      <c r="V256" s="8"/>
      <c r="W256" s="367" t="str">
        <f t="shared" ref="W256:W286" si="83">IF(U256=0,"No Due","Outstanding")</f>
        <v>No Due</v>
      </c>
      <c r="X256" s="8"/>
      <c r="Y256" s="8"/>
      <c r="Z256" s="266"/>
      <c r="AA256" s="41"/>
      <c r="AB256" s="41"/>
      <c r="AC256" s="41"/>
      <c r="AD256" s="41"/>
      <c r="AE256" s="236">
        <f t="shared" si="48"/>
        <v>0</v>
      </c>
      <c r="AF256" s="239">
        <f>J256-AE256</f>
        <v>-5841</v>
      </c>
      <c r="AG256" s="8"/>
      <c r="AH256" s="8"/>
      <c r="AI256" s="237" t="s">
        <v>1003</v>
      </c>
    </row>
    <row r="257" spans="1:35" ht="30" hidden="1" customHeight="1" x14ac:dyDescent="0.3">
      <c r="A257" s="3">
        <f t="shared" si="63"/>
        <v>256</v>
      </c>
      <c r="B257" s="370" t="s">
        <v>764</v>
      </c>
      <c r="C257" s="46">
        <v>46015</v>
      </c>
      <c r="D257" s="130" t="s">
        <v>129</v>
      </c>
      <c r="E257" s="376" t="s">
        <v>791</v>
      </c>
      <c r="F257" s="130" t="s">
        <v>146</v>
      </c>
      <c r="G257" s="131">
        <v>36</v>
      </c>
      <c r="H257" s="8" t="s">
        <v>52</v>
      </c>
      <c r="I257" s="24" t="s">
        <v>793</v>
      </c>
      <c r="J257" s="45">
        <f>91*200</f>
        <v>18200</v>
      </c>
      <c r="K257" s="169">
        <f t="shared" si="75"/>
        <v>1638</v>
      </c>
      <c r="L257" s="40">
        <f t="shared" si="76"/>
        <v>1638</v>
      </c>
      <c r="M257" s="40">
        <f t="shared" si="77"/>
        <v>0</v>
      </c>
      <c r="N257" s="406">
        <f t="shared" si="78"/>
        <v>21476</v>
      </c>
      <c r="O257" s="21">
        <f>N257-Q257</f>
        <v>1820</v>
      </c>
      <c r="P257" s="349">
        <f>O257/J257</f>
        <v>0.1</v>
      </c>
      <c r="Q257" s="388">
        <v>19656</v>
      </c>
      <c r="R257" s="67">
        <v>46072</v>
      </c>
      <c r="S257" s="8" t="s">
        <v>74</v>
      </c>
      <c r="T257" s="20" t="s">
        <v>147</v>
      </c>
      <c r="U257" s="66">
        <f t="shared" si="19"/>
        <v>0</v>
      </c>
      <c r="V257" s="8"/>
      <c r="W257" s="7" t="str">
        <f t="shared" si="83"/>
        <v>No Due</v>
      </c>
      <c r="X257" s="8"/>
      <c r="Y257" s="8"/>
      <c r="Z257" s="266">
        <v>0</v>
      </c>
      <c r="AA257" s="41">
        <v>0</v>
      </c>
      <c r="AB257" s="41">
        <v>0</v>
      </c>
      <c r="AC257" s="41">
        <v>0</v>
      </c>
      <c r="AD257" s="41">
        <v>0</v>
      </c>
      <c r="AE257" s="236">
        <f t="shared" si="48"/>
        <v>0</v>
      </c>
      <c r="AF257" s="239">
        <f t="shared" ref="AF257:AF262" si="84">J257-AE257</f>
        <v>18200</v>
      </c>
      <c r="AG257" s="237">
        <v>600</v>
      </c>
      <c r="AH257" s="8"/>
      <c r="AI257" s="8"/>
    </row>
    <row r="258" spans="1:35" ht="30" hidden="1" customHeight="1" x14ac:dyDescent="0.3">
      <c r="A258" s="3">
        <f t="shared" si="63"/>
        <v>257</v>
      </c>
      <c r="B258" s="370" t="s">
        <v>764</v>
      </c>
      <c r="C258" s="46">
        <v>46015</v>
      </c>
      <c r="D258" s="130" t="s">
        <v>129</v>
      </c>
      <c r="E258" s="376" t="s">
        <v>792</v>
      </c>
      <c r="F258" s="130" t="s">
        <v>131</v>
      </c>
      <c r="G258" s="131">
        <v>36</v>
      </c>
      <c r="H258" s="8" t="s">
        <v>51</v>
      </c>
      <c r="I258" s="24" t="s">
        <v>793</v>
      </c>
      <c r="J258" s="45">
        <f>3*200</f>
        <v>600</v>
      </c>
      <c r="K258" s="169">
        <f t="shared" ref="K258:K259" si="85">ROUND(IF(G258=36,J258*9%,0),0)</f>
        <v>54</v>
      </c>
      <c r="L258" s="40">
        <f t="shared" ref="L258:L259" si="86">ROUND(IF(G258=36,J258*9%,0),0)</f>
        <v>54</v>
      </c>
      <c r="M258" s="40">
        <f t="shared" ref="M258" si="87">ROUND(IF(G258=36,J258*0%,J258*18%),0)</f>
        <v>0</v>
      </c>
      <c r="N258" s="406">
        <f>J258+K258+L258+M258</f>
        <v>708</v>
      </c>
      <c r="O258" s="49">
        <f>N258-Q258</f>
        <v>60</v>
      </c>
      <c r="P258" s="349">
        <f>O258/J258</f>
        <v>0.1</v>
      </c>
      <c r="Q258" s="388">
        <v>648</v>
      </c>
      <c r="R258" s="67">
        <v>46036</v>
      </c>
      <c r="S258" s="8" t="s">
        <v>74</v>
      </c>
      <c r="T258" s="20" t="s">
        <v>147</v>
      </c>
      <c r="U258" s="66">
        <f t="shared" ref="U258:U266" si="88">N258-O258-Q258</f>
        <v>0</v>
      </c>
      <c r="V258" s="8"/>
      <c r="W258" s="7" t="str">
        <f t="shared" si="83"/>
        <v>No Due</v>
      </c>
      <c r="X258" s="8"/>
      <c r="Y258" s="8"/>
      <c r="Z258" s="266">
        <v>0</v>
      </c>
      <c r="AA258" s="41">
        <v>0</v>
      </c>
      <c r="AB258" s="41">
        <v>0</v>
      </c>
      <c r="AC258" s="41">
        <v>0</v>
      </c>
      <c r="AD258" s="41">
        <v>0</v>
      </c>
      <c r="AE258" s="236">
        <f t="shared" si="48"/>
        <v>0</v>
      </c>
      <c r="AF258" s="239">
        <f t="shared" si="84"/>
        <v>600</v>
      </c>
      <c r="AG258" s="237">
        <v>600</v>
      </c>
      <c r="AH258" s="8"/>
      <c r="AI258" s="8"/>
    </row>
    <row r="259" spans="1:35" ht="30" customHeight="1" x14ac:dyDescent="0.3">
      <c r="A259" s="3">
        <f t="shared" si="63"/>
        <v>258</v>
      </c>
      <c r="B259" s="370" t="s">
        <v>764</v>
      </c>
      <c r="C259" s="46">
        <v>46018</v>
      </c>
      <c r="D259" s="146" t="s">
        <v>288</v>
      </c>
      <c r="E259" s="376" t="s">
        <v>794</v>
      </c>
      <c r="F259" s="146" t="s">
        <v>289</v>
      </c>
      <c r="G259" s="147">
        <v>36</v>
      </c>
      <c r="H259" s="8" t="s">
        <v>287</v>
      </c>
      <c r="I259" s="24" t="s">
        <v>800</v>
      </c>
      <c r="J259" s="45">
        <v>557926.67000000004</v>
      </c>
      <c r="K259" s="169">
        <f t="shared" si="85"/>
        <v>50213</v>
      </c>
      <c r="L259" s="40">
        <f t="shared" si="86"/>
        <v>50213</v>
      </c>
      <c r="M259" s="8"/>
      <c r="N259" s="406">
        <f>J259+K259+L259+M259</f>
        <v>658352.67000000004</v>
      </c>
      <c r="O259" s="378">
        <f>J259*P259</f>
        <v>1394.816675</v>
      </c>
      <c r="P259" s="382">
        <v>2.5000000000000001E-3</v>
      </c>
      <c r="Q259" s="388">
        <f>N259-O259</f>
        <v>656957.85332500003</v>
      </c>
      <c r="R259" s="67">
        <v>46027</v>
      </c>
      <c r="S259" s="6" t="s">
        <v>74</v>
      </c>
      <c r="T259" s="10" t="s">
        <v>322</v>
      </c>
      <c r="U259" s="66">
        <f t="shared" si="88"/>
        <v>0</v>
      </c>
      <c r="V259" s="8"/>
      <c r="W259" s="367" t="str">
        <f t="shared" si="83"/>
        <v>No Due</v>
      </c>
      <c r="X259" s="8"/>
      <c r="Y259" s="8"/>
      <c r="Z259" s="266">
        <v>663804</v>
      </c>
      <c r="AA259" s="41">
        <v>132059</v>
      </c>
      <c r="AB259" s="41">
        <v>22732</v>
      </c>
      <c r="AC259" s="41">
        <v>2400</v>
      </c>
      <c r="AD259" s="41"/>
      <c r="AE259" s="236">
        <f>SUM(Z259:AD259)</f>
        <v>820995</v>
      </c>
      <c r="AF259" s="239">
        <f t="shared" si="84"/>
        <v>-263068.32999999996</v>
      </c>
      <c r="AG259" s="8"/>
      <c r="AH259" s="8"/>
      <c r="AI259" s="8"/>
    </row>
    <row r="260" spans="1:35" ht="30" customHeight="1" x14ac:dyDescent="0.3">
      <c r="A260" s="3">
        <f t="shared" si="63"/>
        <v>259</v>
      </c>
      <c r="B260" s="370" t="s">
        <v>764</v>
      </c>
      <c r="C260" s="46">
        <v>46018</v>
      </c>
      <c r="D260" s="146" t="s">
        <v>288</v>
      </c>
      <c r="E260" s="376" t="s">
        <v>795</v>
      </c>
      <c r="F260" s="146" t="s">
        <v>289</v>
      </c>
      <c r="G260" s="147">
        <v>36</v>
      </c>
      <c r="H260" s="8" t="s">
        <v>287</v>
      </c>
      <c r="I260" s="24" t="s">
        <v>801</v>
      </c>
      <c r="J260" s="45">
        <v>164477.56</v>
      </c>
      <c r="K260" s="169">
        <f t="shared" ref="K260:K262" si="89">ROUND(IF(G260=36,J260*9%,0),0)</f>
        <v>14803</v>
      </c>
      <c r="L260" s="40">
        <f t="shared" ref="L260:L262" si="90">ROUND(IF(G260=36,J260*9%,0),0)</f>
        <v>14803</v>
      </c>
      <c r="M260" s="8"/>
      <c r="N260" s="406">
        <f>J260+K260+L260+M260</f>
        <v>194083.56</v>
      </c>
      <c r="O260" s="378">
        <f>J260*P260</f>
        <v>411.19389999999999</v>
      </c>
      <c r="P260" s="382">
        <v>2.5000000000000001E-3</v>
      </c>
      <c r="Q260" s="388">
        <f>N260-O260</f>
        <v>193672.36609999998</v>
      </c>
      <c r="R260" s="67">
        <v>46027</v>
      </c>
      <c r="S260" s="6" t="s">
        <v>74</v>
      </c>
      <c r="T260" s="10" t="s">
        <v>322</v>
      </c>
      <c r="U260" s="66">
        <f t="shared" si="88"/>
        <v>0</v>
      </c>
      <c r="V260" s="8"/>
      <c r="W260" s="367" t="str">
        <f t="shared" si="83"/>
        <v>No Due</v>
      </c>
      <c r="X260" s="8"/>
      <c r="Y260" s="8"/>
      <c r="Z260" s="266"/>
      <c r="AA260" s="41"/>
      <c r="AB260" s="41"/>
      <c r="AC260" s="41"/>
      <c r="AD260" s="41"/>
      <c r="AE260" s="236">
        <f>SUM(Z260:AD260)</f>
        <v>0</v>
      </c>
      <c r="AF260" s="239">
        <f t="shared" si="84"/>
        <v>164477.56</v>
      </c>
      <c r="AG260" s="8"/>
      <c r="AH260" s="8"/>
      <c r="AI260" s="8"/>
    </row>
    <row r="261" spans="1:35" ht="30" customHeight="1" x14ac:dyDescent="0.3">
      <c r="A261" s="3">
        <f t="shared" si="63"/>
        <v>260</v>
      </c>
      <c r="B261" s="370" t="s">
        <v>764</v>
      </c>
      <c r="C261" s="46">
        <v>46018</v>
      </c>
      <c r="D261" s="146" t="s">
        <v>288</v>
      </c>
      <c r="E261" s="376" t="s">
        <v>796</v>
      </c>
      <c r="F261" s="146" t="s">
        <v>289</v>
      </c>
      <c r="G261" s="147">
        <v>36</v>
      </c>
      <c r="H261" s="8" t="s">
        <v>287</v>
      </c>
      <c r="I261" s="24" t="s">
        <v>802</v>
      </c>
      <c r="J261" s="45">
        <v>182719.28</v>
      </c>
      <c r="K261" s="169">
        <f t="shared" si="89"/>
        <v>16445</v>
      </c>
      <c r="L261" s="40">
        <f t="shared" si="90"/>
        <v>16445</v>
      </c>
      <c r="M261" s="8"/>
      <c r="N261" s="406">
        <f>J261+K261+L261+M261</f>
        <v>215609.28</v>
      </c>
      <c r="O261" s="378">
        <f>J261*P261</f>
        <v>456.79820000000001</v>
      </c>
      <c r="P261" s="382">
        <v>2.5000000000000001E-3</v>
      </c>
      <c r="Q261" s="388">
        <f>N261-O261</f>
        <v>215152.48180000001</v>
      </c>
      <c r="R261" s="67">
        <v>46027</v>
      </c>
      <c r="S261" s="6" t="s">
        <v>74</v>
      </c>
      <c r="T261" s="10" t="s">
        <v>322</v>
      </c>
      <c r="U261" s="66">
        <f t="shared" si="88"/>
        <v>0</v>
      </c>
      <c r="V261" s="8"/>
      <c r="W261" s="367" t="str">
        <f t="shared" si="83"/>
        <v>No Due</v>
      </c>
      <c r="X261" s="8"/>
      <c r="Y261" s="8"/>
      <c r="Z261" s="266"/>
      <c r="AA261" s="41"/>
      <c r="AB261" s="41"/>
      <c r="AC261" s="41"/>
      <c r="AD261" s="41"/>
      <c r="AE261" s="236">
        <f>SUM(Z261:AD261)</f>
        <v>0</v>
      </c>
      <c r="AF261" s="239">
        <f t="shared" si="84"/>
        <v>182719.28</v>
      </c>
      <c r="AG261" s="8"/>
      <c r="AH261" s="8"/>
      <c r="AI261" s="8"/>
    </row>
    <row r="262" spans="1:35" ht="30" customHeight="1" x14ac:dyDescent="0.3">
      <c r="A262" s="3">
        <f t="shared" si="63"/>
        <v>261</v>
      </c>
      <c r="B262" s="370" t="s">
        <v>764</v>
      </c>
      <c r="C262" s="46">
        <v>46018</v>
      </c>
      <c r="D262" s="146" t="s">
        <v>288</v>
      </c>
      <c r="E262" s="376" t="s">
        <v>797</v>
      </c>
      <c r="F262" s="146" t="s">
        <v>289</v>
      </c>
      <c r="G262" s="147">
        <v>36</v>
      </c>
      <c r="H262" s="8" t="s">
        <v>287</v>
      </c>
      <c r="I262" s="24" t="s">
        <v>802</v>
      </c>
      <c r="J262" s="45">
        <v>767.3</v>
      </c>
      <c r="K262" s="169">
        <f t="shared" si="89"/>
        <v>69</v>
      </c>
      <c r="L262" s="40">
        <f t="shared" si="90"/>
        <v>69</v>
      </c>
      <c r="M262" s="8"/>
      <c r="N262" s="406">
        <f>J262+K262+L262+M262</f>
        <v>905.3</v>
      </c>
      <c r="O262" s="378">
        <f>J262*P262</f>
        <v>1.91825</v>
      </c>
      <c r="P262" s="382">
        <v>2.5000000000000001E-3</v>
      </c>
      <c r="Q262" s="388">
        <f>N262-O262</f>
        <v>903.38175000000001</v>
      </c>
      <c r="R262" s="67">
        <v>46027</v>
      </c>
      <c r="S262" s="6" t="s">
        <v>74</v>
      </c>
      <c r="T262" s="10" t="s">
        <v>322</v>
      </c>
      <c r="U262" s="66">
        <f t="shared" si="88"/>
        <v>0</v>
      </c>
      <c r="V262" s="8"/>
      <c r="W262" s="367" t="str">
        <f t="shared" si="83"/>
        <v>No Due</v>
      </c>
      <c r="X262" s="8"/>
      <c r="Y262" s="8"/>
      <c r="Z262" s="266"/>
      <c r="AA262" s="41"/>
      <c r="AB262" s="41"/>
      <c r="AC262" s="41"/>
      <c r="AD262" s="41"/>
      <c r="AE262" s="236">
        <f>SUM(Z262:AD262)</f>
        <v>0</v>
      </c>
      <c r="AF262" s="239">
        <f t="shared" si="84"/>
        <v>767.3</v>
      </c>
      <c r="AG262" s="8"/>
      <c r="AH262" s="8"/>
      <c r="AI262" s="8"/>
    </row>
    <row r="263" spans="1:35" ht="30" hidden="1" customHeight="1" x14ac:dyDescent="0.3">
      <c r="A263" s="3">
        <f t="shared" si="63"/>
        <v>262</v>
      </c>
      <c r="B263" s="370" t="s">
        <v>764</v>
      </c>
      <c r="C263" s="46">
        <v>46020</v>
      </c>
      <c r="D263" s="75" t="s">
        <v>70</v>
      </c>
      <c r="E263" s="376" t="s">
        <v>798</v>
      </c>
      <c r="F263" s="331" t="s">
        <v>126</v>
      </c>
      <c r="G263" s="261">
        <v>24</v>
      </c>
      <c r="H263" s="8" t="s">
        <v>125</v>
      </c>
      <c r="I263" s="24" t="s">
        <v>799</v>
      </c>
      <c r="J263" s="45">
        <v>12351094</v>
      </c>
      <c r="K263" s="43">
        <f t="shared" ref="K263:K264" si="91">ROUND(IF(G263=36,J263*9%,0),0)</f>
        <v>0</v>
      </c>
      <c r="L263" s="40">
        <f t="shared" ref="L263:L264" si="92">ROUND(IF(G263=36,J263*9%,0),0)</f>
        <v>0</v>
      </c>
      <c r="M263" s="40">
        <f t="shared" ref="M263:M264" si="93">ROUND(IF(G263=36,J263*0%,J263*18%),0)</f>
        <v>2223197</v>
      </c>
      <c r="N263" s="406">
        <f t="shared" ref="N263:N264" si="94">J263+K263+L263+M263</f>
        <v>14574291</v>
      </c>
      <c r="O263" s="378">
        <f>N263-Q263</f>
        <v>247022.08000000007</v>
      </c>
      <c r="P263" s="9">
        <f>O263/J263</f>
        <v>2.0000016192897575E-2</v>
      </c>
      <c r="Q263" s="388">
        <v>14327268.92</v>
      </c>
      <c r="R263" s="67">
        <v>46022</v>
      </c>
      <c r="S263" s="6" t="s">
        <v>74</v>
      </c>
      <c r="T263" s="10" t="s">
        <v>569</v>
      </c>
      <c r="U263" s="66">
        <f t="shared" si="88"/>
        <v>0</v>
      </c>
      <c r="V263" s="8"/>
      <c r="W263" s="367" t="str">
        <f t="shared" si="83"/>
        <v>No Due</v>
      </c>
      <c r="X263" s="8"/>
      <c r="Y263" s="8"/>
      <c r="Z263" s="266">
        <v>10357384</v>
      </c>
      <c r="AA263" s="41">
        <v>1388860</v>
      </c>
      <c r="AB263" s="41"/>
      <c r="AC263" s="41">
        <v>73200</v>
      </c>
      <c r="AD263" s="41"/>
      <c r="AE263" s="236">
        <f t="shared" ref="AE263:AE266" si="95">SUM(Z263:AD263)</f>
        <v>11819444</v>
      </c>
      <c r="AF263" s="239">
        <f t="shared" ref="AF263" si="96">J263-AE263</f>
        <v>531650</v>
      </c>
      <c r="AG263" s="237">
        <f>AF263-AH263</f>
        <v>395650</v>
      </c>
      <c r="AH263" s="237">
        <v>136000</v>
      </c>
      <c r="AI263" s="8"/>
    </row>
    <row r="264" spans="1:35" ht="35.549999999999997" hidden="1" customHeight="1" x14ac:dyDescent="0.3">
      <c r="A264" s="3">
        <f t="shared" si="63"/>
        <v>263</v>
      </c>
      <c r="B264" s="381" t="s">
        <v>803</v>
      </c>
      <c r="C264" s="46">
        <v>46025</v>
      </c>
      <c r="D264" s="334" t="s">
        <v>288</v>
      </c>
      <c r="E264" s="376" t="s">
        <v>804</v>
      </c>
      <c r="F264" s="376" t="s">
        <v>626</v>
      </c>
      <c r="G264" s="261">
        <v>24</v>
      </c>
      <c r="H264" s="8" t="s">
        <v>627</v>
      </c>
      <c r="I264" s="24" t="s">
        <v>808</v>
      </c>
      <c r="J264" s="39">
        <v>6156338</v>
      </c>
      <c r="K264" s="8">
        <f t="shared" si="91"/>
        <v>0</v>
      </c>
      <c r="L264" s="8">
        <f t="shared" si="92"/>
        <v>0</v>
      </c>
      <c r="M264" s="40">
        <f t="shared" si="93"/>
        <v>1108141</v>
      </c>
      <c r="N264" s="406">
        <f t="shared" si="94"/>
        <v>7264479</v>
      </c>
      <c r="O264" s="378">
        <f>N264-Q264</f>
        <v>124246</v>
      </c>
      <c r="P264" s="349">
        <f>O264/J264</f>
        <v>2.0181802883467412E-2</v>
      </c>
      <c r="Q264" s="388">
        <v>7140233</v>
      </c>
      <c r="R264" s="67">
        <v>46045</v>
      </c>
      <c r="S264" s="8" t="s">
        <v>74</v>
      </c>
      <c r="T264" s="20" t="s">
        <v>147</v>
      </c>
      <c r="U264" s="66">
        <f t="shared" si="88"/>
        <v>0</v>
      </c>
      <c r="V264" s="8"/>
      <c r="W264" s="367" t="str">
        <f t="shared" si="83"/>
        <v>No Due</v>
      </c>
      <c r="X264" s="8"/>
      <c r="Y264" s="8"/>
      <c r="Z264" s="266">
        <v>4820717</v>
      </c>
      <c r="AA264" s="41">
        <v>813158</v>
      </c>
      <c r="AB264" s="41"/>
      <c r="AC264" s="41">
        <v>50800</v>
      </c>
      <c r="AD264" s="41">
        <v>178505</v>
      </c>
      <c r="AE264" s="236">
        <f t="shared" si="95"/>
        <v>5863180</v>
      </c>
      <c r="AF264" s="239">
        <f>J264-AE264</f>
        <v>293158</v>
      </c>
      <c r="AG264" s="8"/>
      <c r="AH264" s="8"/>
      <c r="AI264" s="237" t="s">
        <v>1003</v>
      </c>
    </row>
    <row r="265" spans="1:35" ht="30" hidden="1" customHeight="1" x14ac:dyDescent="0.3">
      <c r="A265" s="3">
        <f t="shared" si="63"/>
        <v>264</v>
      </c>
      <c r="B265" s="381" t="s">
        <v>803</v>
      </c>
      <c r="C265" s="46">
        <v>46024</v>
      </c>
      <c r="D265" s="164" t="s">
        <v>70</v>
      </c>
      <c r="E265" s="376" t="s">
        <v>805</v>
      </c>
      <c r="F265" s="260" t="s">
        <v>134</v>
      </c>
      <c r="G265" s="261">
        <v>10</v>
      </c>
      <c r="H265" s="8" t="s">
        <v>39</v>
      </c>
      <c r="I265" s="24" t="s">
        <v>807</v>
      </c>
      <c r="J265" s="39">
        <v>39001</v>
      </c>
      <c r="K265" s="43">
        <f t="shared" ref="K265:K266" si="97">ROUND(IF(G265=36,J265*9%,0),0)</f>
        <v>0</v>
      </c>
      <c r="L265" s="40">
        <f t="shared" ref="L265:L266" si="98">ROUND(IF(G265=36,J265*9%,0),0)</f>
        <v>0</v>
      </c>
      <c r="M265" s="40">
        <f t="shared" ref="M265:M266" si="99">ROUND(IF(G265=36,J265*0%,J265*18%),0)</f>
        <v>7020</v>
      </c>
      <c r="N265" s="406">
        <f t="shared" ref="N265:N266" si="100">J265+K265+L265+M265</f>
        <v>46021</v>
      </c>
      <c r="O265" s="49">
        <f>N265-Q265</f>
        <v>780.02999999999884</v>
      </c>
      <c r="P265" s="9">
        <f t="shared" ref="P265" si="101">O265/J265</f>
        <v>2.0000256403681926E-2</v>
      </c>
      <c r="Q265" s="403">
        <f>38220.97+7020</f>
        <v>45240.97</v>
      </c>
      <c r="R265" s="391" t="s">
        <v>1002</v>
      </c>
      <c r="S265" s="8" t="s">
        <v>74</v>
      </c>
      <c r="T265" s="20" t="s">
        <v>136</v>
      </c>
      <c r="U265" s="66">
        <f t="shared" si="88"/>
        <v>0</v>
      </c>
      <c r="V265" s="8"/>
      <c r="W265" s="7" t="str">
        <f t="shared" si="83"/>
        <v>No Due</v>
      </c>
      <c r="X265" s="8"/>
      <c r="Y265" s="8"/>
      <c r="Z265" s="266">
        <v>34201</v>
      </c>
      <c r="AA265" s="41">
        <v>3750</v>
      </c>
      <c r="AB265" s="41">
        <v>0</v>
      </c>
      <c r="AC265" s="41">
        <v>200</v>
      </c>
      <c r="AD265" s="41"/>
      <c r="AE265" s="236">
        <f t="shared" si="95"/>
        <v>38151</v>
      </c>
      <c r="AF265" s="239">
        <f t="shared" ref="AF265:AF266" si="102">J265-AE265</f>
        <v>850</v>
      </c>
      <c r="AG265" s="8"/>
      <c r="AH265" s="8"/>
      <c r="AI265" s="8"/>
    </row>
    <row r="266" spans="1:35" ht="30" hidden="1" customHeight="1" x14ac:dyDescent="0.3">
      <c r="A266" s="3">
        <f t="shared" si="63"/>
        <v>265</v>
      </c>
      <c r="B266" s="381" t="s">
        <v>803</v>
      </c>
      <c r="C266" s="46">
        <v>46024</v>
      </c>
      <c r="D266" s="164" t="s">
        <v>70</v>
      </c>
      <c r="E266" s="376" t="s">
        <v>806</v>
      </c>
      <c r="F266" s="260" t="s">
        <v>134</v>
      </c>
      <c r="G266" s="261">
        <v>10</v>
      </c>
      <c r="H266" s="8" t="s">
        <v>39</v>
      </c>
      <c r="I266" s="24" t="s">
        <v>807</v>
      </c>
      <c r="J266" s="39">
        <v>60709</v>
      </c>
      <c r="K266" s="43">
        <f t="shared" si="97"/>
        <v>0</v>
      </c>
      <c r="L266" s="40">
        <f t="shared" si="98"/>
        <v>0</v>
      </c>
      <c r="M266" s="40">
        <f t="shared" si="99"/>
        <v>10928</v>
      </c>
      <c r="N266" s="406">
        <f t="shared" si="100"/>
        <v>71637</v>
      </c>
      <c r="O266" s="49">
        <f>N266-Q266</f>
        <v>6072</v>
      </c>
      <c r="P266" s="9">
        <f t="shared" ref="P266" si="103">O266/J266</f>
        <v>0.10001811922449719</v>
      </c>
      <c r="Q266" s="403">
        <f>54638+10927</f>
        <v>65565</v>
      </c>
      <c r="R266" s="391" t="s">
        <v>1001</v>
      </c>
      <c r="S266" s="8" t="s">
        <v>74</v>
      </c>
      <c r="T266" s="20" t="s">
        <v>136</v>
      </c>
      <c r="U266" s="66">
        <f t="shared" si="88"/>
        <v>0</v>
      </c>
      <c r="V266" s="8"/>
      <c r="W266" s="7" t="str">
        <f t="shared" si="83"/>
        <v>No Due</v>
      </c>
      <c r="X266" s="8"/>
      <c r="Y266" s="8"/>
      <c r="Z266" s="266">
        <v>55909</v>
      </c>
      <c r="AA266" s="41">
        <v>3750</v>
      </c>
      <c r="AB266" s="41">
        <v>0</v>
      </c>
      <c r="AC266" s="41">
        <v>200</v>
      </c>
      <c r="AD266" s="41"/>
      <c r="AE266" s="236">
        <f t="shared" si="95"/>
        <v>59859</v>
      </c>
      <c r="AF266" s="239">
        <f t="shared" si="102"/>
        <v>850</v>
      </c>
      <c r="AG266" s="8"/>
      <c r="AH266" s="8"/>
      <c r="AI266" s="8"/>
    </row>
    <row r="267" spans="1:35" ht="30" hidden="1" customHeight="1" x14ac:dyDescent="0.3">
      <c r="A267" s="3">
        <f t="shared" si="63"/>
        <v>266</v>
      </c>
      <c r="B267" s="381" t="s">
        <v>803</v>
      </c>
      <c r="C267" s="46">
        <v>46028</v>
      </c>
      <c r="D267" s="384" t="s">
        <v>70</v>
      </c>
      <c r="E267" s="376" t="s">
        <v>809</v>
      </c>
      <c r="F267" s="19" t="s">
        <v>824</v>
      </c>
      <c r="G267" s="261">
        <v>24</v>
      </c>
      <c r="H267" s="8" t="s">
        <v>810</v>
      </c>
      <c r="I267" s="24" t="s">
        <v>825</v>
      </c>
      <c r="J267" s="39">
        <v>65685</v>
      </c>
      <c r="K267" s="43">
        <f t="shared" ref="K267" si="104">ROUND(IF(G267=36,J267*9%,0),0)</f>
        <v>0</v>
      </c>
      <c r="L267" s="40">
        <f t="shared" ref="L267" si="105">ROUND(IF(G267=36,J267*9%,0),0)</f>
        <v>0</v>
      </c>
      <c r="M267" s="40">
        <f t="shared" ref="M267" si="106">ROUND(IF(G267=36,J267*0%,J267*18%),0)</f>
        <v>11823</v>
      </c>
      <c r="N267" s="406">
        <f>J267+K267+L267+M267</f>
        <v>77508</v>
      </c>
      <c r="O267" s="386">
        <f>J267*2%</f>
        <v>1313.7</v>
      </c>
      <c r="P267" s="385">
        <f t="shared" ref="P267:P272" si="107">O267/J267</f>
        <v>0.02</v>
      </c>
      <c r="Q267" s="378">
        <f>N267-O267</f>
        <v>76194.3</v>
      </c>
      <c r="R267" s="67">
        <v>46119</v>
      </c>
      <c r="S267" s="8" t="s">
        <v>74</v>
      </c>
      <c r="T267" s="20" t="s">
        <v>992</v>
      </c>
      <c r="U267" s="66">
        <f t="shared" ref="U267:U272" si="108">N267-O267-Q267</f>
        <v>0</v>
      </c>
      <c r="V267" s="8"/>
      <c r="W267" s="7" t="str">
        <f t="shared" si="83"/>
        <v>No Due</v>
      </c>
      <c r="X267" s="8"/>
      <c r="Y267" s="8"/>
      <c r="Z267" s="266">
        <v>49898</v>
      </c>
      <c r="AA267" s="41">
        <v>8487</v>
      </c>
      <c r="AB267" s="41"/>
      <c r="AC267" s="41">
        <v>400</v>
      </c>
      <c r="AD267" s="41"/>
      <c r="AE267" s="236">
        <f>SUBTOTAL(9,Z267:AC267)</f>
        <v>0</v>
      </c>
      <c r="AF267" s="239">
        <f>J267-AE267</f>
        <v>65685</v>
      </c>
      <c r="AG267" s="8"/>
      <c r="AH267" s="49"/>
      <c r="AI267" s="8"/>
    </row>
    <row r="268" spans="1:35" ht="30" hidden="1" customHeight="1" x14ac:dyDescent="0.3">
      <c r="A268" s="3">
        <f t="shared" si="63"/>
        <v>267</v>
      </c>
      <c r="B268" s="381" t="s">
        <v>803</v>
      </c>
      <c r="C268" s="46">
        <v>46028</v>
      </c>
      <c r="D268" s="46" t="s">
        <v>33</v>
      </c>
      <c r="E268" s="376" t="s">
        <v>812</v>
      </c>
      <c r="F268" s="260" t="s">
        <v>34</v>
      </c>
      <c r="G268" s="261">
        <v>36</v>
      </c>
      <c r="H268" s="8" t="s">
        <v>55</v>
      </c>
      <c r="I268" s="24" t="s">
        <v>817</v>
      </c>
      <c r="J268" s="39">
        <f>(72050*12)+(53350*1)+(99751*15)</f>
        <v>2414215</v>
      </c>
      <c r="K268" s="148">
        <f t="shared" ref="K268:K274" si="109">ROUND(IF(G268=36,J268*9%,0),0)</f>
        <v>217279</v>
      </c>
      <c r="L268" s="40">
        <f t="shared" ref="L268:L274" si="110">ROUND(IF(G268=36,J268*9%,0),0)</f>
        <v>217279</v>
      </c>
      <c r="M268" s="40">
        <f t="shared" ref="M268:M273" si="111">ROUND(IF(G268=36,J268*0%,J268*18%),0)</f>
        <v>0</v>
      </c>
      <c r="N268" s="406">
        <f t="shared" ref="N268:N273" si="112">J268+K268+L268+M268</f>
        <v>2848773</v>
      </c>
      <c r="O268" s="386">
        <f>J268*0.25%</f>
        <v>6035.5375000000004</v>
      </c>
      <c r="P268" s="9">
        <f t="shared" si="107"/>
        <v>2.5000000000000001E-3</v>
      </c>
      <c r="Q268" s="49">
        <f>N268-O268</f>
        <v>2842737.4624999999</v>
      </c>
      <c r="R268" s="67">
        <v>46057</v>
      </c>
      <c r="S268" s="8" t="s">
        <v>74</v>
      </c>
      <c r="T268" s="20" t="s">
        <v>124</v>
      </c>
      <c r="U268" s="66">
        <f t="shared" si="108"/>
        <v>0</v>
      </c>
      <c r="V268" s="8"/>
      <c r="W268" s="367" t="str">
        <f t="shared" si="83"/>
        <v>No Due</v>
      </c>
      <c r="X268" s="8"/>
      <c r="Y268" s="8"/>
      <c r="Z268" s="266"/>
      <c r="AA268" s="41"/>
      <c r="AB268" s="41"/>
      <c r="AC268" s="41"/>
      <c r="AD268" s="41"/>
      <c r="AE268" s="236"/>
      <c r="AF268" s="239"/>
      <c r="AG268" s="8"/>
      <c r="AH268" s="8"/>
      <c r="AI268" s="8"/>
    </row>
    <row r="269" spans="1:35" ht="30" hidden="1" customHeight="1" x14ac:dyDescent="0.3">
      <c r="A269" s="3">
        <f t="shared" si="63"/>
        <v>268</v>
      </c>
      <c r="B269" s="381" t="s">
        <v>803</v>
      </c>
      <c r="C269" s="46">
        <v>46028</v>
      </c>
      <c r="D269" s="46" t="s">
        <v>33</v>
      </c>
      <c r="E269" s="376" t="s">
        <v>813</v>
      </c>
      <c r="F269" s="260" t="s">
        <v>34</v>
      </c>
      <c r="G269" s="261">
        <v>36</v>
      </c>
      <c r="H269" s="8" t="s">
        <v>55</v>
      </c>
      <c r="I269" s="24" t="s">
        <v>818</v>
      </c>
      <c r="J269" s="39">
        <v>21153</v>
      </c>
      <c r="K269" s="148">
        <f t="shared" si="109"/>
        <v>1904</v>
      </c>
      <c r="L269" s="40">
        <f t="shared" si="110"/>
        <v>1904</v>
      </c>
      <c r="M269" s="40">
        <f t="shared" si="111"/>
        <v>0</v>
      </c>
      <c r="N269" s="406">
        <f t="shared" si="112"/>
        <v>24961</v>
      </c>
      <c r="O269" s="386">
        <f>J269*0.25%</f>
        <v>52.8825</v>
      </c>
      <c r="P269" s="9">
        <f t="shared" si="107"/>
        <v>2.5000000000000001E-3</v>
      </c>
      <c r="Q269" s="49">
        <f>N269-O269</f>
        <v>24908.1175</v>
      </c>
      <c r="R269" s="67">
        <v>46057</v>
      </c>
      <c r="S269" s="8" t="s">
        <v>74</v>
      </c>
      <c r="T269" s="20" t="s">
        <v>124</v>
      </c>
      <c r="U269" s="66">
        <f t="shared" si="108"/>
        <v>0</v>
      </c>
      <c r="V269" s="8"/>
      <c r="W269" s="367" t="str">
        <f t="shared" si="83"/>
        <v>No Due</v>
      </c>
      <c r="X269" s="8"/>
      <c r="Y269" s="8"/>
      <c r="Z269" s="266"/>
      <c r="AA269" s="41"/>
      <c r="AB269" s="41"/>
      <c r="AC269" s="41"/>
      <c r="AD269" s="41"/>
      <c r="AE269" s="236"/>
      <c r="AF269" s="239">
        <f t="shared" ref="AF269" si="113">J269-AE269</f>
        <v>21153</v>
      </c>
      <c r="AG269" s="237">
        <f t="shared" ref="AG269" si="114">AF269</f>
        <v>21153</v>
      </c>
      <c r="AH269" s="8"/>
      <c r="AI269" s="8"/>
    </row>
    <row r="270" spans="1:35" ht="30" hidden="1" customHeight="1" x14ac:dyDescent="0.3">
      <c r="A270" s="3">
        <f t="shared" si="63"/>
        <v>269</v>
      </c>
      <c r="B270" s="381" t="s">
        <v>803</v>
      </c>
      <c r="C270" s="46">
        <v>46028</v>
      </c>
      <c r="D270" s="46" t="s">
        <v>33</v>
      </c>
      <c r="E270" s="376" t="s">
        <v>814</v>
      </c>
      <c r="F270" s="260" t="s">
        <v>34</v>
      </c>
      <c r="G270" s="261">
        <v>36</v>
      </c>
      <c r="H270" s="8" t="s">
        <v>55</v>
      </c>
      <c r="I270" s="24" t="s">
        <v>816</v>
      </c>
      <c r="J270" s="39">
        <v>89000</v>
      </c>
      <c r="K270" s="148">
        <f t="shared" si="109"/>
        <v>8010</v>
      </c>
      <c r="L270" s="40">
        <f t="shared" si="110"/>
        <v>8010</v>
      </c>
      <c r="M270" s="40">
        <f t="shared" si="111"/>
        <v>0</v>
      </c>
      <c r="N270" s="406">
        <f t="shared" si="112"/>
        <v>105020</v>
      </c>
      <c r="O270" s="386">
        <f>J270*0.25%</f>
        <v>222.5</v>
      </c>
      <c r="P270" s="9">
        <f t="shared" si="107"/>
        <v>2.5000000000000001E-3</v>
      </c>
      <c r="Q270" s="49">
        <f>N270-O270</f>
        <v>104797.5</v>
      </c>
      <c r="R270" s="67">
        <v>46057</v>
      </c>
      <c r="S270" s="8" t="s">
        <v>74</v>
      </c>
      <c r="T270" s="20" t="s">
        <v>124</v>
      </c>
      <c r="U270" s="66">
        <f t="shared" si="108"/>
        <v>0</v>
      </c>
      <c r="V270" s="8"/>
      <c r="W270" s="367" t="str">
        <f t="shared" si="83"/>
        <v>No Due</v>
      </c>
      <c r="X270" s="8"/>
      <c r="Y270" s="8"/>
      <c r="Z270" s="266"/>
      <c r="AA270" s="41"/>
      <c r="AB270" s="41"/>
      <c r="AC270" s="41"/>
      <c r="AD270" s="41"/>
      <c r="AE270" s="236"/>
      <c r="AF270" s="239"/>
      <c r="AG270" s="8"/>
      <c r="AH270" s="8"/>
      <c r="AI270" s="8"/>
    </row>
    <row r="271" spans="1:35" ht="30" hidden="1" customHeight="1" x14ac:dyDescent="0.3">
      <c r="A271" s="3">
        <f t="shared" si="63"/>
        <v>270</v>
      </c>
      <c r="B271" s="381" t="s">
        <v>803</v>
      </c>
      <c r="C271" s="46">
        <v>46028</v>
      </c>
      <c r="D271" s="60" t="s">
        <v>33</v>
      </c>
      <c r="E271" s="397" t="s">
        <v>815</v>
      </c>
      <c r="F271" s="260" t="s">
        <v>37</v>
      </c>
      <c r="G271" s="261">
        <v>36</v>
      </c>
      <c r="H271" s="8" t="s">
        <v>38</v>
      </c>
      <c r="I271" s="24" t="s">
        <v>819</v>
      </c>
      <c r="J271" s="39">
        <f>(158333*2)+(190000*3)</f>
        <v>886666</v>
      </c>
      <c r="K271" s="43">
        <f t="shared" si="109"/>
        <v>79800</v>
      </c>
      <c r="L271" s="40">
        <f t="shared" si="110"/>
        <v>79800</v>
      </c>
      <c r="M271" s="40">
        <f t="shared" si="111"/>
        <v>0</v>
      </c>
      <c r="N271" s="406">
        <f t="shared" si="112"/>
        <v>1046266</v>
      </c>
      <c r="O271" s="386">
        <f>J271*10%</f>
        <v>88666.6</v>
      </c>
      <c r="P271" s="9">
        <f t="shared" si="107"/>
        <v>0.1</v>
      </c>
      <c r="Q271" s="23">
        <v>957599</v>
      </c>
      <c r="R271" s="67">
        <v>46093</v>
      </c>
      <c r="S271" s="8" t="s">
        <v>74</v>
      </c>
      <c r="T271" s="20" t="s">
        <v>124</v>
      </c>
      <c r="U271" s="66">
        <f>ROUND(N271-O271-Q271,0)</f>
        <v>0</v>
      </c>
      <c r="V271" s="8"/>
      <c r="W271" s="367" t="str">
        <f t="shared" si="83"/>
        <v>No Due</v>
      </c>
      <c r="X271" s="8"/>
      <c r="Y271" s="8"/>
      <c r="Z271" s="266">
        <v>586569</v>
      </c>
      <c r="AA271" s="41">
        <v>18750</v>
      </c>
      <c r="AB271" s="41"/>
      <c r="AC271" s="41">
        <v>1000</v>
      </c>
      <c r="AD271" s="41">
        <v>73390</v>
      </c>
      <c r="AE271" s="236">
        <f t="shared" ref="AE271" si="115">SUM(Z271:AD271)</f>
        <v>679709</v>
      </c>
      <c r="AF271" s="239">
        <f>J271-AE271</f>
        <v>206957</v>
      </c>
      <c r="AG271" s="8"/>
      <c r="AH271" s="8"/>
      <c r="AI271" s="8"/>
    </row>
    <row r="272" spans="1:35" ht="30" hidden="1" customHeight="1" x14ac:dyDescent="0.3">
      <c r="A272" s="3">
        <f t="shared" si="63"/>
        <v>271</v>
      </c>
      <c r="B272" s="381" t="s">
        <v>803</v>
      </c>
      <c r="C272" s="46">
        <v>46028</v>
      </c>
      <c r="D272" s="384" t="s">
        <v>70</v>
      </c>
      <c r="E272" s="376" t="s">
        <v>820</v>
      </c>
      <c r="F272" s="19" t="s">
        <v>824</v>
      </c>
      <c r="G272" s="261">
        <v>24</v>
      </c>
      <c r="H272" s="8" t="s">
        <v>810</v>
      </c>
      <c r="I272" s="24" t="s">
        <v>826</v>
      </c>
      <c r="J272" s="39">
        <v>28448</v>
      </c>
      <c r="K272" s="43">
        <f t="shared" si="109"/>
        <v>0</v>
      </c>
      <c r="L272" s="40">
        <f t="shared" si="110"/>
        <v>0</v>
      </c>
      <c r="M272" s="40">
        <f t="shared" si="111"/>
        <v>5121</v>
      </c>
      <c r="N272" s="406">
        <f t="shared" si="112"/>
        <v>33569</v>
      </c>
      <c r="O272" s="386">
        <f>J272*2%</f>
        <v>568.96</v>
      </c>
      <c r="P272" s="385">
        <f t="shared" si="107"/>
        <v>0.02</v>
      </c>
      <c r="Q272" s="378">
        <f>N272-O272</f>
        <v>33000.04</v>
      </c>
      <c r="R272" s="67">
        <v>46119</v>
      </c>
      <c r="S272" s="8" t="s">
        <v>74</v>
      </c>
      <c r="T272" s="20" t="s">
        <v>992</v>
      </c>
      <c r="U272" s="66">
        <f t="shared" si="108"/>
        <v>0</v>
      </c>
      <c r="V272" s="8"/>
      <c r="W272" s="7" t="str">
        <f t="shared" si="83"/>
        <v>No Due</v>
      </c>
      <c r="X272" s="8"/>
      <c r="Y272" s="8"/>
      <c r="Z272" s="266">
        <v>21936</v>
      </c>
      <c r="AA272" s="41">
        <v>3552</v>
      </c>
      <c r="AB272" s="41"/>
      <c r="AC272" s="41">
        <v>200</v>
      </c>
      <c r="AD272" s="41"/>
      <c r="AE272" s="236">
        <f>SUBTOTAL(9,Z272:AC272)</f>
        <v>0</v>
      </c>
      <c r="AF272" s="239">
        <f>J272-AE272</f>
        <v>28448</v>
      </c>
      <c r="AG272" s="8"/>
      <c r="AH272" s="8"/>
      <c r="AI272" s="8"/>
    </row>
    <row r="273" spans="1:35" ht="30" hidden="1" customHeight="1" x14ac:dyDescent="0.3">
      <c r="A273" s="3">
        <f t="shared" si="63"/>
        <v>272</v>
      </c>
      <c r="B273" s="381" t="s">
        <v>803</v>
      </c>
      <c r="C273" s="46">
        <v>46034</v>
      </c>
      <c r="D273" s="167" t="s">
        <v>70</v>
      </c>
      <c r="E273" s="376" t="s">
        <v>821</v>
      </c>
      <c r="F273" s="167" t="s">
        <v>138</v>
      </c>
      <c r="G273" s="168">
        <v>36</v>
      </c>
      <c r="H273" s="8" t="s">
        <v>49</v>
      </c>
      <c r="I273" s="24" t="s">
        <v>831</v>
      </c>
      <c r="J273" s="39">
        <v>634914</v>
      </c>
      <c r="K273" s="386">
        <f t="shared" si="109"/>
        <v>57142</v>
      </c>
      <c r="L273" s="386">
        <f t="shared" si="110"/>
        <v>57142</v>
      </c>
      <c r="M273" s="386">
        <f t="shared" si="111"/>
        <v>0</v>
      </c>
      <c r="N273" s="407">
        <f t="shared" si="112"/>
        <v>749198</v>
      </c>
      <c r="O273" s="378">
        <f>J273*0.25%</f>
        <v>1587.2850000000001</v>
      </c>
      <c r="P273" s="9">
        <f t="shared" ref="P273" si="116">O273/J273</f>
        <v>2.5000000000000001E-3</v>
      </c>
      <c r="Q273" s="388">
        <f>747611.52</f>
        <v>747611.52</v>
      </c>
      <c r="R273" s="67">
        <v>46053</v>
      </c>
      <c r="S273" s="6" t="s">
        <v>74</v>
      </c>
      <c r="T273" s="10" t="s">
        <v>96</v>
      </c>
      <c r="U273" s="66">
        <f>ROUND(N273-O273-Q273,0)+1</f>
        <v>0</v>
      </c>
      <c r="V273" s="8"/>
      <c r="W273" s="367" t="str">
        <f t="shared" si="83"/>
        <v>No Due</v>
      </c>
      <c r="X273" s="8"/>
      <c r="Y273" s="8"/>
      <c r="Z273" s="266">
        <v>598064</v>
      </c>
      <c r="AA273" s="41"/>
      <c r="AB273" s="41"/>
      <c r="AC273" s="41"/>
      <c r="AD273" s="41"/>
      <c r="AE273" s="236">
        <f t="shared" ref="AE273:AE279" si="117">SUM(Z273:AD273)</f>
        <v>598064</v>
      </c>
      <c r="AF273" s="239">
        <f>J273-AE273</f>
        <v>36850</v>
      </c>
      <c r="AG273" s="8"/>
      <c r="AH273" s="8"/>
      <c r="AI273" s="237"/>
    </row>
    <row r="274" spans="1:35" ht="30" customHeight="1" x14ac:dyDescent="0.3">
      <c r="A274" s="3">
        <f t="shared" si="63"/>
        <v>273</v>
      </c>
      <c r="B274" s="381" t="s">
        <v>803</v>
      </c>
      <c r="C274" s="46">
        <v>46029</v>
      </c>
      <c r="D274" s="146" t="s">
        <v>288</v>
      </c>
      <c r="E274" s="376" t="s">
        <v>822</v>
      </c>
      <c r="F274" s="146" t="s">
        <v>289</v>
      </c>
      <c r="G274" s="147">
        <v>36</v>
      </c>
      <c r="H274" s="8" t="s">
        <v>287</v>
      </c>
      <c r="I274" s="24" t="s">
        <v>839</v>
      </c>
      <c r="J274" s="39">
        <v>926.76</v>
      </c>
      <c r="K274" s="8">
        <f t="shared" si="109"/>
        <v>83</v>
      </c>
      <c r="L274" s="8">
        <f t="shared" si="110"/>
        <v>83</v>
      </c>
      <c r="M274" s="8"/>
      <c r="N274" s="406">
        <f>J274+K274+L274+M274</f>
        <v>1092.76</v>
      </c>
      <c r="O274" s="49">
        <f>N274-Q274</f>
        <v>1.5</v>
      </c>
      <c r="P274" s="387">
        <f>O274/J274</f>
        <v>1.6185420173507705E-3</v>
      </c>
      <c r="Q274" s="388">
        <v>1091.26</v>
      </c>
      <c r="R274" s="67">
        <v>46049</v>
      </c>
      <c r="S274" s="6" t="s">
        <v>74</v>
      </c>
      <c r="T274" s="10" t="s">
        <v>322</v>
      </c>
      <c r="U274" s="66">
        <f t="shared" ref="U274:U299" si="118">N274-O274-Q274</f>
        <v>0</v>
      </c>
      <c r="V274" s="8"/>
      <c r="W274" s="367" t="str">
        <f t="shared" si="83"/>
        <v>No Due</v>
      </c>
      <c r="X274" s="8"/>
      <c r="Y274" s="8"/>
      <c r="Z274" s="266"/>
      <c r="AA274" s="41"/>
      <c r="AB274" s="41"/>
      <c r="AC274" s="41"/>
      <c r="AD274" s="41"/>
      <c r="AE274" s="236">
        <f t="shared" si="117"/>
        <v>0</v>
      </c>
      <c r="AF274" s="239"/>
      <c r="AG274" s="8"/>
      <c r="AH274" s="8"/>
      <c r="AI274" s="8"/>
    </row>
    <row r="275" spans="1:35" ht="30" customHeight="1" x14ac:dyDescent="0.3">
      <c r="A275" s="3">
        <f t="shared" si="63"/>
        <v>274</v>
      </c>
      <c r="B275" s="381" t="s">
        <v>803</v>
      </c>
      <c r="C275" s="46">
        <v>46029</v>
      </c>
      <c r="D275" s="146" t="s">
        <v>288</v>
      </c>
      <c r="E275" s="376" t="s">
        <v>823</v>
      </c>
      <c r="F275" s="146" t="s">
        <v>289</v>
      </c>
      <c r="G275" s="147">
        <v>36</v>
      </c>
      <c r="H275" s="8" t="s">
        <v>287</v>
      </c>
      <c r="I275" s="24" t="s">
        <v>840</v>
      </c>
      <c r="J275" s="45">
        <v>301.83</v>
      </c>
      <c r="K275" s="169">
        <f t="shared" ref="K275" si="119">ROUND(IF(G275=36,J275*9%,0),0)</f>
        <v>27</v>
      </c>
      <c r="L275" s="40">
        <f t="shared" ref="L275" si="120">ROUND(IF(G275=36,J275*9%,0),0)</f>
        <v>27</v>
      </c>
      <c r="M275" s="8"/>
      <c r="N275" s="406">
        <f>J275+K275+L275+M275</f>
        <v>355.83</v>
      </c>
      <c r="O275" s="49">
        <f>N275-Q275</f>
        <v>0.43000000000000682</v>
      </c>
      <c r="P275" s="387">
        <f>O275/J275</f>
        <v>1.4246430109664608E-3</v>
      </c>
      <c r="Q275" s="388">
        <v>355.4</v>
      </c>
      <c r="R275" s="67">
        <v>46049</v>
      </c>
      <c r="S275" s="6" t="s">
        <v>74</v>
      </c>
      <c r="T275" s="10" t="s">
        <v>322</v>
      </c>
      <c r="U275" s="66">
        <f t="shared" si="118"/>
        <v>0</v>
      </c>
      <c r="V275" s="8"/>
      <c r="W275" s="367" t="str">
        <f t="shared" si="83"/>
        <v>No Due</v>
      </c>
      <c r="X275" s="8"/>
      <c r="Y275" s="8"/>
      <c r="Z275" s="266"/>
      <c r="AA275" s="41"/>
      <c r="AB275" s="41"/>
      <c r="AC275" s="41"/>
      <c r="AD275" s="41"/>
      <c r="AE275" s="236">
        <f t="shared" si="117"/>
        <v>0</v>
      </c>
      <c r="AF275" s="239"/>
      <c r="AG275" s="8"/>
      <c r="AH275" s="8"/>
      <c r="AI275" s="8"/>
    </row>
    <row r="276" spans="1:35" ht="30" hidden="1" customHeight="1" x14ac:dyDescent="0.3">
      <c r="A276" s="3">
        <f t="shared" si="63"/>
        <v>275</v>
      </c>
      <c r="B276" s="381" t="s">
        <v>803</v>
      </c>
      <c r="C276" s="46">
        <v>46034</v>
      </c>
      <c r="D276" s="167" t="s">
        <v>70</v>
      </c>
      <c r="E276" s="376" t="s">
        <v>827</v>
      </c>
      <c r="F276" s="167" t="s">
        <v>138</v>
      </c>
      <c r="G276" s="168">
        <v>36</v>
      </c>
      <c r="H276" s="8" t="s">
        <v>49</v>
      </c>
      <c r="I276" s="24" t="s">
        <v>832</v>
      </c>
      <c r="J276" s="39">
        <v>28653322</v>
      </c>
      <c r="K276" s="386">
        <f t="shared" ref="K276:K277" si="121">ROUND(IF(G276=36,J276*9%,0),0)</f>
        <v>2578799</v>
      </c>
      <c r="L276" s="386">
        <f t="shared" ref="L276:L277" si="122">ROUND(IF(G276=36,J276*9%,0),0)</f>
        <v>2578799</v>
      </c>
      <c r="M276" s="386">
        <f t="shared" ref="M276:M277" si="123">ROUND(IF(G276=36,J276*0%,J276*18%),0)</f>
        <v>0</v>
      </c>
      <c r="N276" s="407">
        <f t="shared" ref="N276:N277" si="124">J276+K276+L276+M276</f>
        <v>33810920</v>
      </c>
      <c r="O276" s="378">
        <f>J276*0.25%</f>
        <v>71633.305000000008</v>
      </c>
      <c r="P276" s="9">
        <f t="shared" ref="P276:P279" si="125">O276/J276</f>
        <v>2.5000000000000001E-3</v>
      </c>
      <c r="Q276" s="388">
        <f>33739286.96</f>
        <v>33739286.960000001</v>
      </c>
      <c r="R276" s="67">
        <v>46053</v>
      </c>
      <c r="S276" s="6" t="s">
        <v>74</v>
      </c>
      <c r="T276" s="10" t="s">
        <v>96</v>
      </c>
      <c r="U276" s="66">
        <f>ROUND(N276-O276-Q276,0)</f>
        <v>0</v>
      </c>
      <c r="V276" s="8"/>
      <c r="W276" s="367" t="str">
        <f t="shared" si="83"/>
        <v>No Due</v>
      </c>
      <c r="X276" s="8"/>
      <c r="Y276" s="8"/>
      <c r="Z276" s="266">
        <f>25938189-52552</f>
        <v>25885637</v>
      </c>
      <c r="AA276" s="41">
        <v>2287755</v>
      </c>
      <c r="AB276" s="41">
        <v>659</v>
      </c>
      <c r="AC276" s="41">
        <v>121850</v>
      </c>
      <c r="AD276" s="41">
        <v>18621</v>
      </c>
      <c r="AE276" s="236">
        <f t="shared" si="117"/>
        <v>28314522</v>
      </c>
      <c r="AF276" s="239">
        <f>J276-AE276</f>
        <v>338800</v>
      </c>
      <c r="AG276" s="8"/>
      <c r="AH276" s="8"/>
      <c r="AI276" s="237"/>
    </row>
    <row r="277" spans="1:35" ht="30" hidden="1" customHeight="1" x14ac:dyDescent="0.3">
      <c r="A277" s="3">
        <f t="shared" si="63"/>
        <v>276</v>
      </c>
      <c r="B277" s="381" t="s">
        <v>803</v>
      </c>
      <c r="C277" s="46">
        <v>46034</v>
      </c>
      <c r="D277" s="167" t="s">
        <v>70</v>
      </c>
      <c r="E277" s="376" t="s">
        <v>828</v>
      </c>
      <c r="F277" s="167" t="s">
        <v>138</v>
      </c>
      <c r="G277" s="168">
        <v>36</v>
      </c>
      <c r="H277" s="8" t="s">
        <v>49</v>
      </c>
      <c r="I277" s="24" t="s">
        <v>833</v>
      </c>
      <c r="J277" s="39">
        <v>358525</v>
      </c>
      <c r="K277" s="8">
        <f t="shared" si="121"/>
        <v>32267</v>
      </c>
      <c r="L277" s="8">
        <f t="shared" si="122"/>
        <v>32267</v>
      </c>
      <c r="M277" s="8">
        <f t="shared" si="123"/>
        <v>0</v>
      </c>
      <c r="N277" s="407">
        <f t="shared" si="124"/>
        <v>423059</v>
      </c>
      <c r="O277" s="378">
        <f>J277*0.25%</f>
        <v>896.3125</v>
      </c>
      <c r="P277" s="9">
        <f t="shared" si="125"/>
        <v>2.5000000000000001E-3</v>
      </c>
      <c r="Q277" s="388">
        <f>422163.5</f>
        <v>422163.5</v>
      </c>
      <c r="R277" s="67">
        <v>46053</v>
      </c>
      <c r="S277" s="6" t="s">
        <v>74</v>
      </c>
      <c r="T277" s="10" t="s">
        <v>96</v>
      </c>
      <c r="U277" s="66">
        <f>ROUND(N277-O277-Q277,0)+1</f>
        <v>0</v>
      </c>
      <c r="V277" s="8"/>
      <c r="W277" s="367" t="str">
        <f t="shared" si="83"/>
        <v>No Due</v>
      </c>
      <c r="X277" s="8"/>
      <c r="Y277" s="8"/>
      <c r="Z277" s="266">
        <v>352475</v>
      </c>
      <c r="AA277" s="41"/>
      <c r="AB277" s="41"/>
      <c r="AC277" s="41"/>
      <c r="AD277" s="41"/>
      <c r="AE277" s="236">
        <f t="shared" si="117"/>
        <v>352475</v>
      </c>
      <c r="AF277" s="239">
        <f>J277-AE277</f>
        <v>6050</v>
      </c>
      <c r="AG277" s="237">
        <f t="shared" ref="AG277" si="126">AF277</f>
        <v>6050</v>
      </c>
      <c r="AH277" s="8"/>
      <c r="AI277" s="237"/>
    </row>
    <row r="278" spans="1:35" ht="30" hidden="1" customHeight="1" x14ac:dyDescent="0.3">
      <c r="A278" s="3">
        <f t="shared" si="63"/>
        <v>277</v>
      </c>
      <c r="B278" s="381" t="s">
        <v>803</v>
      </c>
      <c r="C278" s="46">
        <v>46034</v>
      </c>
      <c r="D278" s="167" t="s">
        <v>70</v>
      </c>
      <c r="E278" s="376" t="s">
        <v>829</v>
      </c>
      <c r="F278" s="167" t="s">
        <v>138</v>
      </c>
      <c r="G278" s="168">
        <v>36</v>
      </c>
      <c r="H278" s="8" t="s">
        <v>49</v>
      </c>
      <c r="I278" s="24" t="s">
        <v>834</v>
      </c>
      <c r="J278" s="39">
        <v>468104</v>
      </c>
      <c r="K278" s="8">
        <f t="shared" ref="K278" si="127">ROUND(IF(G278=36,J278*9%,0),0)</f>
        <v>42129</v>
      </c>
      <c r="L278" s="8">
        <f t="shared" ref="L278" si="128">ROUND(IF(G278=36,J278*9%,0),0)</f>
        <v>42129</v>
      </c>
      <c r="M278" s="8">
        <f t="shared" ref="M278" si="129">ROUND(IF(G278=36,J278*0%,J278*18%),0)</f>
        <v>0</v>
      </c>
      <c r="N278" s="407">
        <f t="shared" ref="N278" si="130">J278+K278+L278+M278</f>
        <v>552362</v>
      </c>
      <c r="O278" s="378">
        <f>J278*0.25%</f>
        <v>1170.26</v>
      </c>
      <c r="P278" s="9">
        <f t="shared" si="125"/>
        <v>2.5000000000000001E-3</v>
      </c>
      <c r="Q278" s="388">
        <f>551192.72</f>
        <v>551192.72</v>
      </c>
      <c r="R278" s="67">
        <v>46053</v>
      </c>
      <c r="S278" s="6" t="s">
        <v>74</v>
      </c>
      <c r="T278" s="10" t="s">
        <v>96</v>
      </c>
      <c r="U278" s="66">
        <f>ROUND(N278-O278-Q278,0)+1</f>
        <v>0</v>
      </c>
      <c r="V278" s="8"/>
      <c r="W278" s="367" t="str">
        <f t="shared" si="83"/>
        <v>No Due</v>
      </c>
      <c r="X278" s="8"/>
      <c r="Y278" s="8"/>
      <c r="Z278" s="266">
        <v>451054</v>
      </c>
      <c r="AA278" s="41"/>
      <c r="AB278" s="41"/>
      <c r="AC278" s="41"/>
      <c r="AD278" s="41"/>
      <c r="AE278" s="236">
        <f t="shared" si="117"/>
        <v>451054</v>
      </c>
      <c r="AF278" s="239">
        <f>J278-AE278</f>
        <v>17050</v>
      </c>
      <c r="AG278" s="8"/>
      <c r="AH278" s="8"/>
      <c r="AI278" s="237"/>
    </row>
    <row r="279" spans="1:35" ht="30" hidden="1" customHeight="1" x14ac:dyDescent="0.3">
      <c r="A279" s="3">
        <f t="shared" si="63"/>
        <v>278</v>
      </c>
      <c r="B279" s="381" t="s">
        <v>803</v>
      </c>
      <c r="C279" s="46">
        <v>46034</v>
      </c>
      <c r="D279" s="167" t="s">
        <v>70</v>
      </c>
      <c r="E279" s="376" t="s">
        <v>830</v>
      </c>
      <c r="F279" s="167" t="s">
        <v>138</v>
      </c>
      <c r="G279" s="168">
        <v>36</v>
      </c>
      <c r="H279" s="8" t="s">
        <v>49</v>
      </c>
      <c r="I279" s="24" t="s">
        <v>835</v>
      </c>
      <c r="J279" s="39">
        <v>19348</v>
      </c>
      <c r="K279" s="8">
        <f t="shared" ref="K279:K282" si="131">ROUND(IF(G279=36,J279*9%,0),0)</f>
        <v>1741</v>
      </c>
      <c r="L279" s="8">
        <f t="shared" ref="L279:L282" si="132">ROUND(IF(G279=36,J279*9%,0),0)</f>
        <v>1741</v>
      </c>
      <c r="M279" s="8">
        <f t="shared" ref="M279:M281" si="133">ROUND(IF(G279=36,J279*0%,J279*18%),0)</f>
        <v>0</v>
      </c>
      <c r="N279" s="407">
        <f t="shared" ref="N279:N280" si="134">J279+K279+L279+M279</f>
        <v>22830</v>
      </c>
      <c r="O279" s="378">
        <f>J279*0.25%</f>
        <v>48.370000000000005</v>
      </c>
      <c r="P279" s="9">
        <f t="shared" si="125"/>
        <v>2.5000000000000001E-3</v>
      </c>
      <c r="Q279" s="388">
        <f>22782.64</f>
        <v>22782.639999999999</v>
      </c>
      <c r="R279" s="67">
        <v>46053</v>
      </c>
      <c r="S279" s="6" t="s">
        <v>74</v>
      </c>
      <c r="T279" s="10" t="s">
        <v>96</v>
      </c>
      <c r="U279" s="66">
        <f>ROUND(N279-O279-Q279,0)+1</f>
        <v>0</v>
      </c>
      <c r="V279" s="8"/>
      <c r="W279" s="367" t="str">
        <f t="shared" si="83"/>
        <v>No Due</v>
      </c>
      <c r="X279" s="8"/>
      <c r="Y279" s="8"/>
      <c r="Z279" s="266"/>
      <c r="AA279" s="41"/>
      <c r="AB279" s="41"/>
      <c r="AC279" s="41"/>
      <c r="AD279" s="41">
        <v>16398</v>
      </c>
      <c r="AE279" s="236">
        <f t="shared" si="117"/>
        <v>16398</v>
      </c>
      <c r="AF279" s="239">
        <f>J279-AE279</f>
        <v>2950</v>
      </c>
      <c r="AG279" s="8"/>
      <c r="AH279" s="8"/>
      <c r="AI279" s="237"/>
    </row>
    <row r="280" spans="1:35" ht="30" hidden="1" customHeight="1" x14ac:dyDescent="0.3">
      <c r="A280" s="3">
        <f t="shared" si="63"/>
        <v>279</v>
      </c>
      <c r="B280" s="381" t="s">
        <v>803</v>
      </c>
      <c r="C280" s="46">
        <v>46042</v>
      </c>
      <c r="D280" s="130" t="s">
        <v>129</v>
      </c>
      <c r="E280" s="376" t="s">
        <v>836</v>
      </c>
      <c r="F280" s="130" t="s">
        <v>146</v>
      </c>
      <c r="G280" s="131">
        <v>36</v>
      </c>
      <c r="H280" s="8" t="s">
        <v>52</v>
      </c>
      <c r="I280" s="24" t="s">
        <v>838</v>
      </c>
      <c r="J280" s="39">
        <f>91*200</f>
        <v>18200</v>
      </c>
      <c r="K280" s="169">
        <f t="shared" si="131"/>
        <v>1638</v>
      </c>
      <c r="L280" s="40">
        <f t="shared" si="132"/>
        <v>1638</v>
      </c>
      <c r="M280" s="40">
        <f t="shared" si="133"/>
        <v>0</v>
      </c>
      <c r="N280" s="406">
        <f t="shared" si="134"/>
        <v>21476</v>
      </c>
      <c r="O280" s="21">
        <f>N280-Q280</f>
        <v>1820</v>
      </c>
      <c r="P280" s="349">
        <f>O280/J280</f>
        <v>0.1</v>
      </c>
      <c r="Q280" s="388">
        <v>19656</v>
      </c>
      <c r="R280" s="67">
        <v>46072</v>
      </c>
      <c r="S280" s="8" t="s">
        <v>74</v>
      </c>
      <c r="T280" s="20" t="s">
        <v>147</v>
      </c>
      <c r="U280" s="66">
        <f t="shared" si="118"/>
        <v>0</v>
      </c>
      <c r="V280" s="8"/>
      <c r="W280" s="7" t="str">
        <f t="shared" si="83"/>
        <v>No Due</v>
      </c>
      <c r="X280" s="8"/>
      <c r="Y280" s="8"/>
      <c r="Z280" s="266">
        <v>0</v>
      </c>
      <c r="AA280" s="41">
        <v>0</v>
      </c>
      <c r="AB280" s="41">
        <v>0</v>
      </c>
      <c r="AC280" s="41">
        <v>0</v>
      </c>
      <c r="AD280" s="41">
        <v>0</v>
      </c>
      <c r="AE280" s="236">
        <f t="shared" ref="AE280:AE285" si="135">SUM(Z280:AD280)</f>
        <v>0</v>
      </c>
      <c r="AF280" s="239">
        <f t="shared" ref="AF280:AF281" si="136">J280-AE280</f>
        <v>18200</v>
      </c>
      <c r="AG280" s="237">
        <v>600</v>
      </c>
      <c r="AH280" s="8"/>
      <c r="AI280" s="8"/>
    </row>
    <row r="281" spans="1:35" ht="30" hidden="1" customHeight="1" x14ac:dyDescent="0.3">
      <c r="A281" s="3">
        <f t="shared" si="63"/>
        <v>280</v>
      </c>
      <c r="B281" s="381" t="s">
        <v>803</v>
      </c>
      <c r="C281" s="46">
        <v>46042</v>
      </c>
      <c r="D281" s="130" t="s">
        <v>129</v>
      </c>
      <c r="E281" s="376" t="s">
        <v>837</v>
      </c>
      <c r="F281" s="130" t="s">
        <v>131</v>
      </c>
      <c r="G281" s="131">
        <v>36</v>
      </c>
      <c r="H281" s="8" t="s">
        <v>51</v>
      </c>
      <c r="I281" s="24" t="s">
        <v>838</v>
      </c>
      <c r="J281" s="39">
        <f>3*200</f>
        <v>600</v>
      </c>
      <c r="K281" s="169">
        <f t="shared" si="131"/>
        <v>54</v>
      </c>
      <c r="L281" s="40">
        <f t="shared" si="132"/>
        <v>54</v>
      </c>
      <c r="M281" s="40">
        <f t="shared" si="133"/>
        <v>0</v>
      </c>
      <c r="N281" s="406">
        <f>J281+K281+L281+M281</f>
        <v>708</v>
      </c>
      <c r="O281" s="49">
        <f>N281-Q281</f>
        <v>60</v>
      </c>
      <c r="P281" s="349">
        <f>O281/J281</f>
        <v>0.1</v>
      </c>
      <c r="Q281" s="388">
        <v>648</v>
      </c>
      <c r="R281" s="67">
        <v>46071</v>
      </c>
      <c r="S281" s="8" t="s">
        <v>74</v>
      </c>
      <c r="T281" s="20" t="s">
        <v>147</v>
      </c>
      <c r="U281" s="66">
        <f t="shared" si="118"/>
        <v>0</v>
      </c>
      <c r="V281" s="8"/>
      <c r="W281" s="7" t="str">
        <f t="shared" si="83"/>
        <v>No Due</v>
      </c>
      <c r="X281" s="8"/>
      <c r="Y281" s="8"/>
      <c r="Z281" s="266">
        <v>0</v>
      </c>
      <c r="AA281" s="41">
        <v>0</v>
      </c>
      <c r="AB281" s="41">
        <v>0</v>
      </c>
      <c r="AC281" s="41">
        <v>0</v>
      </c>
      <c r="AD281" s="41">
        <v>0</v>
      </c>
      <c r="AE281" s="236">
        <f t="shared" si="135"/>
        <v>0</v>
      </c>
      <c r="AF281" s="239">
        <f t="shared" si="136"/>
        <v>600</v>
      </c>
      <c r="AG281" s="237">
        <v>600</v>
      </c>
      <c r="AH281" s="8"/>
      <c r="AI281" s="8"/>
    </row>
    <row r="282" spans="1:35" ht="30" customHeight="1" x14ac:dyDescent="0.3">
      <c r="A282" s="3">
        <f t="shared" si="63"/>
        <v>281</v>
      </c>
      <c r="B282" s="381" t="s">
        <v>803</v>
      </c>
      <c r="C282" s="46">
        <v>46049</v>
      </c>
      <c r="D282" s="146" t="s">
        <v>288</v>
      </c>
      <c r="E282" s="376" t="s">
        <v>841</v>
      </c>
      <c r="F282" s="146" t="s">
        <v>289</v>
      </c>
      <c r="G282" s="147">
        <v>36</v>
      </c>
      <c r="H282" s="8" t="s">
        <v>287</v>
      </c>
      <c r="I282" s="24" t="s">
        <v>854</v>
      </c>
      <c r="J282" s="39">
        <v>460697.83</v>
      </c>
      <c r="K282" s="169">
        <f t="shared" si="131"/>
        <v>41463</v>
      </c>
      <c r="L282" s="40">
        <f t="shared" si="132"/>
        <v>41463</v>
      </c>
      <c r="M282" s="8"/>
      <c r="N282" s="406">
        <f>J282+K282+L282+M282</f>
        <v>543623.83000000007</v>
      </c>
      <c r="O282" s="49">
        <f t="shared" ref="O282:O289" si="137">N282-Q282</f>
        <v>1151.7445750000188</v>
      </c>
      <c r="P282" s="9">
        <f t="shared" ref="P282:P285" si="138">O282/J282</f>
        <v>2.5000000000000408E-3</v>
      </c>
      <c r="Q282" s="390">
        <f>N282-(J282*0.25%)</f>
        <v>542472.08542500006</v>
      </c>
      <c r="R282" s="67">
        <v>46059</v>
      </c>
      <c r="S282" s="6" t="s">
        <v>74</v>
      </c>
      <c r="T282" s="20" t="s">
        <v>322</v>
      </c>
      <c r="U282" s="66">
        <f t="shared" si="118"/>
        <v>0</v>
      </c>
      <c r="V282" s="8"/>
      <c r="W282" s="367" t="str">
        <f t="shared" si="83"/>
        <v>No Due</v>
      </c>
      <c r="X282" s="8"/>
      <c r="Y282" s="8"/>
      <c r="Z282" s="266">
        <v>545441</v>
      </c>
      <c r="AA282" s="41"/>
      <c r="AB282" s="41"/>
      <c r="AC282" s="41"/>
      <c r="AD282" s="41"/>
      <c r="AE282" s="236">
        <f t="shared" si="135"/>
        <v>545441</v>
      </c>
      <c r="AF282" s="239"/>
      <c r="AG282" s="8"/>
      <c r="AH282" s="8"/>
      <c r="AI282" s="8"/>
    </row>
    <row r="283" spans="1:35" ht="30" customHeight="1" x14ac:dyDescent="0.3">
      <c r="A283" s="3">
        <f t="shared" si="63"/>
        <v>282</v>
      </c>
      <c r="B283" s="381" t="s">
        <v>803</v>
      </c>
      <c r="C283" s="46">
        <v>46049</v>
      </c>
      <c r="D283" s="146" t="s">
        <v>288</v>
      </c>
      <c r="E283" s="376" t="s">
        <v>842</v>
      </c>
      <c r="F283" s="146" t="s">
        <v>289</v>
      </c>
      <c r="G283" s="147">
        <v>36</v>
      </c>
      <c r="H283" s="8" t="s">
        <v>287</v>
      </c>
      <c r="I283" s="24" t="s">
        <v>853</v>
      </c>
      <c r="J283" s="39">
        <v>163371.98000000001</v>
      </c>
      <c r="K283" s="169">
        <f t="shared" ref="K283" si="139">ROUND(IF(G283=36,J283*9%,0),0)</f>
        <v>14703</v>
      </c>
      <c r="L283" s="40">
        <f t="shared" ref="L283" si="140">ROUND(IF(G283=36,J283*9%,0),0)</f>
        <v>14703</v>
      </c>
      <c r="M283" s="8"/>
      <c r="N283" s="406">
        <f>J283+K283+L283+M283</f>
        <v>192777.98</v>
      </c>
      <c r="O283" s="49">
        <f t="shared" si="137"/>
        <v>408.42994999999064</v>
      </c>
      <c r="P283" s="9">
        <f t="shared" si="138"/>
        <v>2.4999999999999424E-3</v>
      </c>
      <c r="Q283" s="390">
        <f>N283-(J283*0.25%)</f>
        <v>192369.55005000002</v>
      </c>
      <c r="R283" s="67">
        <v>46059</v>
      </c>
      <c r="S283" s="6" t="s">
        <v>74</v>
      </c>
      <c r="T283" s="20" t="s">
        <v>322</v>
      </c>
      <c r="U283" s="66">
        <f t="shared" si="118"/>
        <v>0</v>
      </c>
      <c r="V283" s="8"/>
      <c r="W283" s="367" t="str">
        <f t="shared" si="83"/>
        <v>No Due</v>
      </c>
      <c r="X283" s="8"/>
      <c r="Y283" s="8"/>
      <c r="Z283" s="266"/>
      <c r="AA283" s="41">
        <v>110077</v>
      </c>
      <c r="AB283" s="41"/>
      <c r="AC283" s="41"/>
      <c r="AD283" s="41"/>
      <c r="AE283" s="236">
        <f t="shared" si="135"/>
        <v>110077</v>
      </c>
      <c r="AF283" s="239"/>
      <c r="AG283" s="8"/>
      <c r="AH283" s="8"/>
      <c r="AI283" s="8"/>
    </row>
    <row r="284" spans="1:35" ht="30" customHeight="1" x14ac:dyDescent="0.3">
      <c r="A284" s="3">
        <f t="shared" si="63"/>
        <v>283</v>
      </c>
      <c r="B284" s="381" t="s">
        <v>803</v>
      </c>
      <c r="C284" s="46">
        <v>46049</v>
      </c>
      <c r="D284" s="146" t="s">
        <v>288</v>
      </c>
      <c r="E284" s="376" t="s">
        <v>843</v>
      </c>
      <c r="F284" s="146" t="s">
        <v>289</v>
      </c>
      <c r="G284" s="147">
        <v>36</v>
      </c>
      <c r="H284" s="8" t="s">
        <v>287</v>
      </c>
      <c r="I284" s="24" t="s">
        <v>854</v>
      </c>
      <c r="J284" s="39">
        <v>117488.53</v>
      </c>
      <c r="K284" s="169">
        <f t="shared" ref="K284" si="141">ROUND(IF(G284=36,J284*9%,0),0)</f>
        <v>10574</v>
      </c>
      <c r="L284" s="40">
        <f t="shared" ref="L284" si="142">ROUND(IF(G284=36,J284*9%,0),0)</f>
        <v>10574</v>
      </c>
      <c r="M284" s="8"/>
      <c r="N284" s="406">
        <f>J284+K284+L284+M284</f>
        <v>138636.53</v>
      </c>
      <c r="O284" s="49">
        <f t="shared" si="137"/>
        <v>293.72132499999134</v>
      </c>
      <c r="P284" s="9">
        <f t="shared" si="138"/>
        <v>2.4999999999999263E-3</v>
      </c>
      <c r="Q284" s="390">
        <f>N284-(J284*0.25%)</f>
        <v>138342.80867500001</v>
      </c>
      <c r="R284" s="67">
        <v>46059</v>
      </c>
      <c r="S284" s="6" t="s">
        <v>74</v>
      </c>
      <c r="T284" s="20" t="s">
        <v>322</v>
      </c>
      <c r="U284" s="66">
        <f t="shared" si="118"/>
        <v>0</v>
      </c>
      <c r="V284" s="8"/>
      <c r="W284" s="367" t="str">
        <f t="shared" si="83"/>
        <v>No Due</v>
      </c>
      <c r="X284" s="8"/>
      <c r="Y284" s="8"/>
      <c r="Z284" s="266"/>
      <c r="AA284" s="41"/>
      <c r="AB284" s="41">
        <v>18027</v>
      </c>
      <c r="AC284" s="41"/>
      <c r="AD284" s="41"/>
      <c r="AE284" s="236">
        <f t="shared" si="135"/>
        <v>18027</v>
      </c>
      <c r="AF284" s="239"/>
      <c r="AG284" s="8"/>
      <c r="AH284" s="8"/>
      <c r="AI284" s="8"/>
    </row>
    <row r="285" spans="1:35" ht="30" customHeight="1" x14ac:dyDescent="0.3">
      <c r="A285" s="3">
        <f t="shared" si="63"/>
        <v>284</v>
      </c>
      <c r="B285" s="381" t="s">
        <v>803</v>
      </c>
      <c r="C285" s="46">
        <v>46049</v>
      </c>
      <c r="D285" s="146" t="s">
        <v>288</v>
      </c>
      <c r="E285" s="376" t="s">
        <v>844</v>
      </c>
      <c r="F285" s="146" t="s">
        <v>289</v>
      </c>
      <c r="G285" s="147">
        <v>36</v>
      </c>
      <c r="H285" s="8" t="s">
        <v>287</v>
      </c>
      <c r="I285" s="24" t="s">
        <v>853</v>
      </c>
      <c r="J285" s="39">
        <v>1534.6</v>
      </c>
      <c r="K285" s="169">
        <f t="shared" ref="K285" si="143">ROUND(IF(G285=36,J285*9%,0),0)</f>
        <v>138</v>
      </c>
      <c r="L285" s="40">
        <f t="shared" ref="L285" si="144">ROUND(IF(G285=36,J285*9%,0),0)</f>
        <v>138</v>
      </c>
      <c r="M285" s="8"/>
      <c r="N285" s="406">
        <f>J285+K285+L285+M285</f>
        <v>1810.6</v>
      </c>
      <c r="O285" s="49">
        <f t="shared" si="137"/>
        <v>3.8364999999998872</v>
      </c>
      <c r="P285" s="9">
        <f t="shared" si="138"/>
        <v>2.4999999999999268E-3</v>
      </c>
      <c r="Q285" s="390">
        <f>N285-(J285*0.25%)</f>
        <v>1806.7635</v>
      </c>
      <c r="R285" s="67">
        <v>46059</v>
      </c>
      <c r="S285" s="6" t="s">
        <v>74</v>
      </c>
      <c r="T285" s="20" t="s">
        <v>322</v>
      </c>
      <c r="U285" s="66">
        <f t="shared" si="118"/>
        <v>0</v>
      </c>
      <c r="V285" s="8"/>
      <c r="W285" s="367" t="str">
        <f t="shared" si="83"/>
        <v>No Due</v>
      </c>
      <c r="X285" s="8"/>
      <c r="Y285" s="8"/>
      <c r="Z285" s="266"/>
      <c r="AA285" s="41"/>
      <c r="AB285" s="41"/>
      <c r="AC285" s="41">
        <v>900</v>
      </c>
      <c r="AD285" s="41"/>
      <c r="AE285" s="236">
        <f t="shared" si="135"/>
        <v>900</v>
      </c>
      <c r="AF285" s="239"/>
      <c r="AG285" s="8"/>
      <c r="AH285" s="8"/>
      <c r="AI285" s="8"/>
    </row>
    <row r="286" spans="1:35" ht="30" hidden="1" customHeight="1" x14ac:dyDescent="0.3">
      <c r="A286" s="3">
        <f t="shared" si="63"/>
        <v>285</v>
      </c>
      <c r="B286" s="381" t="s">
        <v>803</v>
      </c>
      <c r="C286" s="46">
        <v>46050</v>
      </c>
      <c r="D286" s="380" t="s">
        <v>70</v>
      </c>
      <c r="E286" s="376" t="s">
        <v>845</v>
      </c>
      <c r="F286" s="331" t="s">
        <v>126</v>
      </c>
      <c r="G286" s="19">
        <v>24</v>
      </c>
      <c r="H286" s="8" t="s">
        <v>125</v>
      </c>
      <c r="I286" s="24" t="s">
        <v>846</v>
      </c>
      <c r="J286" s="39">
        <v>15499114</v>
      </c>
      <c r="K286" s="43">
        <f t="shared" ref="K286:K294" si="145">ROUND(IF(G286=36,J286*9%,0),0)</f>
        <v>0</v>
      </c>
      <c r="L286" s="40">
        <f t="shared" ref="L286:L294" si="146">ROUND(IF(G286=36,J286*9%,0),0)</f>
        <v>0</v>
      </c>
      <c r="M286" s="40">
        <f t="shared" ref="M286:M294" si="147">ROUND(IF(G286=36,J286*0%,J286*18%),0)</f>
        <v>2789841</v>
      </c>
      <c r="N286" s="406">
        <f t="shared" ref="N286:N294" si="148">J286+K286+L286+M286</f>
        <v>18288955</v>
      </c>
      <c r="O286" s="49">
        <f t="shared" si="137"/>
        <v>38748.480000000447</v>
      </c>
      <c r="P286" s="349">
        <f>O286/J286</f>
        <v>2.5000448412728911E-3</v>
      </c>
      <c r="Q286" s="386">
        <v>18250206.52</v>
      </c>
      <c r="R286" s="67">
        <v>46057</v>
      </c>
      <c r="S286" s="6" t="s">
        <v>74</v>
      </c>
      <c r="T286" s="20" t="s">
        <v>569</v>
      </c>
      <c r="U286" s="66">
        <f t="shared" si="118"/>
        <v>0</v>
      </c>
      <c r="V286" s="8"/>
      <c r="W286" s="367" t="str">
        <f t="shared" si="83"/>
        <v>No Due</v>
      </c>
      <c r="X286" s="8"/>
      <c r="Y286" s="8"/>
      <c r="Z286" s="266">
        <v>13181926</v>
      </c>
      <c r="AA286" s="41">
        <v>1694168</v>
      </c>
      <c r="AB286" s="41"/>
      <c r="AC286" s="41">
        <v>91000</v>
      </c>
      <c r="AD286" s="41">
        <v>8070</v>
      </c>
      <c r="AE286" s="236">
        <f t="shared" ref="AE286:AE290" si="149">SUM(Z286:AD286)</f>
        <v>14975164</v>
      </c>
      <c r="AF286" s="239">
        <f t="shared" ref="AF286:AF289" si="150">J286-AE286</f>
        <v>523950</v>
      </c>
      <c r="AG286" s="237">
        <f>AF286-AH286</f>
        <v>441950</v>
      </c>
      <c r="AH286" s="237">
        <v>82000</v>
      </c>
      <c r="AI286" s="8"/>
    </row>
    <row r="287" spans="1:35" ht="30" hidden="1" customHeight="1" x14ac:dyDescent="0.3">
      <c r="A287" s="3">
        <f t="shared" si="63"/>
        <v>286</v>
      </c>
      <c r="B287" s="381" t="s">
        <v>803</v>
      </c>
      <c r="C287" s="46">
        <v>46051</v>
      </c>
      <c r="D287" s="171" t="s">
        <v>70</v>
      </c>
      <c r="E287" s="376" t="s">
        <v>847</v>
      </c>
      <c r="F287" s="171" t="s">
        <v>110</v>
      </c>
      <c r="G287" s="172">
        <v>37</v>
      </c>
      <c r="H287" s="8" t="s">
        <v>59</v>
      </c>
      <c r="I287" s="24" t="s">
        <v>850</v>
      </c>
      <c r="J287" s="39">
        <v>199452</v>
      </c>
      <c r="K287" s="173">
        <f t="shared" si="145"/>
        <v>0</v>
      </c>
      <c r="L287" s="40">
        <f t="shared" si="146"/>
        <v>0</v>
      </c>
      <c r="M287" s="40">
        <f t="shared" si="147"/>
        <v>35901</v>
      </c>
      <c r="N287" s="406">
        <f t="shared" si="148"/>
        <v>235353</v>
      </c>
      <c r="O287" s="21">
        <f t="shared" si="137"/>
        <v>498.64000000001397</v>
      </c>
      <c r="P287" s="9">
        <f>O287/J287</f>
        <v>2.5000501373764815E-3</v>
      </c>
      <c r="Q287" s="23">
        <f>234854.36</f>
        <v>234854.36</v>
      </c>
      <c r="R287" s="67">
        <v>46059</v>
      </c>
      <c r="S287" s="6" t="s">
        <v>74</v>
      </c>
      <c r="T287" s="10" t="s">
        <v>248</v>
      </c>
      <c r="U287" s="66">
        <f t="shared" si="118"/>
        <v>0</v>
      </c>
      <c r="V287" s="8"/>
      <c r="W287" s="367" t="str">
        <f t="shared" ref="W287:W304" si="151">IF(U287=0,"No Due","Outstanding")</f>
        <v>No Due</v>
      </c>
      <c r="X287" s="8"/>
      <c r="Y287" s="8"/>
      <c r="Z287" s="266">
        <v>190902</v>
      </c>
      <c r="AA287" s="41"/>
      <c r="AB287" s="41"/>
      <c r="AC287" s="41"/>
      <c r="AD287" s="41"/>
      <c r="AE287" s="236">
        <f t="shared" si="149"/>
        <v>190902</v>
      </c>
      <c r="AF287" s="239">
        <f t="shared" si="150"/>
        <v>8550</v>
      </c>
      <c r="AG287" s="8"/>
      <c r="AH287" s="8"/>
      <c r="AI287" s="8"/>
    </row>
    <row r="288" spans="1:35" ht="30" hidden="1" customHeight="1" x14ac:dyDescent="0.3">
      <c r="A288" s="3">
        <f t="shared" si="63"/>
        <v>287</v>
      </c>
      <c r="B288" s="381" t="s">
        <v>803</v>
      </c>
      <c r="C288" s="46">
        <v>46051</v>
      </c>
      <c r="D288" s="171" t="s">
        <v>70</v>
      </c>
      <c r="E288" s="376" t="s">
        <v>848</v>
      </c>
      <c r="F288" s="171" t="s">
        <v>110</v>
      </c>
      <c r="G288" s="172">
        <v>37</v>
      </c>
      <c r="H288" s="8" t="s">
        <v>59</v>
      </c>
      <c r="I288" s="24" t="s">
        <v>851</v>
      </c>
      <c r="J288" s="39">
        <v>740736</v>
      </c>
      <c r="K288" s="173">
        <f t="shared" si="145"/>
        <v>0</v>
      </c>
      <c r="L288" s="40">
        <f t="shared" si="146"/>
        <v>0</v>
      </c>
      <c r="M288" s="40">
        <f t="shared" si="147"/>
        <v>133332</v>
      </c>
      <c r="N288" s="406">
        <f t="shared" si="148"/>
        <v>874068</v>
      </c>
      <c r="O288" s="21">
        <f t="shared" si="137"/>
        <v>1851.5200000000186</v>
      </c>
      <c r="P288" s="9">
        <f>O288/J288</f>
        <v>2.4995679972352075E-3</v>
      </c>
      <c r="Q288" s="23">
        <f>872216.48</f>
        <v>872216.48</v>
      </c>
      <c r="R288" s="67">
        <v>46059</v>
      </c>
      <c r="S288" s="6" t="s">
        <v>74</v>
      </c>
      <c r="T288" s="10" t="s">
        <v>248</v>
      </c>
      <c r="U288" s="66">
        <f t="shared" si="118"/>
        <v>0</v>
      </c>
      <c r="V288" s="8"/>
      <c r="W288" s="367" t="str">
        <f t="shared" si="151"/>
        <v>No Due</v>
      </c>
      <c r="X288" s="8"/>
      <c r="Y288" s="8"/>
      <c r="Z288" s="266">
        <v>728586</v>
      </c>
      <c r="AA288" s="41"/>
      <c r="AB288" s="41"/>
      <c r="AC288" s="41"/>
      <c r="AD288" s="41"/>
      <c r="AE288" s="236">
        <f t="shared" si="149"/>
        <v>728586</v>
      </c>
      <c r="AF288" s="239">
        <f t="shared" si="150"/>
        <v>12150</v>
      </c>
      <c r="AG288" s="8"/>
      <c r="AH288" s="8"/>
      <c r="AI288" s="8"/>
    </row>
    <row r="289" spans="1:35" ht="30" hidden="1" customHeight="1" x14ac:dyDescent="0.3">
      <c r="A289" s="3">
        <f t="shared" si="63"/>
        <v>288</v>
      </c>
      <c r="B289" s="381" t="s">
        <v>803</v>
      </c>
      <c r="C289" s="46">
        <v>46051</v>
      </c>
      <c r="D289" s="171" t="s">
        <v>70</v>
      </c>
      <c r="E289" s="376" t="s">
        <v>849</v>
      </c>
      <c r="F289" s="171" t="s">
        <v>110</v>
      </c>
      <c r="G289" s="172">
        <v>37</v>
      </c>
      <c r="H289" s="8" t="s">
        <v>59</v>
      </c>
      <c r="I289" s="24" t="s">
        <v>852</v>
      </c>
      <c r="J289" s="39">
        <v>1513211</v>
      </c>
      <c r="K289" s="173">
        <f t="shared" si="145"/>
        <v>0</v>
      </c>
      <c r="L289" s="40">
        <f t="shared" si="146"/>
        <v>0</v>
      </c>
      <c r="M289" s="40">
        <f t="shared" si="147"/>
        <v>272378</v>
      </c>
      <c r="N289" s="406">
        <f t="shared" si="148"/>
        <v>1785589</v>
      </c>
      <c r="O289" s="21">
        <f t="shared" si="137"/>
        <v>3783.0200000000186</v>
      </c>
      <c r="P289" s="9">
        <f>O289/J289</f>
        <v>2.4999950436522195E-3</v>
      </c>
      <c r="Q289" s="23">
        <f>1781805.98</f>
        <v>1781805.98</v>
      </c>
      <c r="R289" s="67">
        <v>46059</v>
      </c>
      <c r="S289" s="6" t="s">
        <v>74</v>
      </c>
      <c r="T289" s="10" t="s">
        <v>248</v>
      </c>
      <c r="U289" s="66">
        <f t="shared" si="118"/>
        <v>0</v>
      </c>
      <c r="V289" s="8"/>
      <c r="W289" s="367" t="str">
        <f t="shared" si="151"/>
        <v>No Due</v>
      </c>
      <c r="X289" s="8"/>
      <c r="Y289" s="8"/>
      <c r="Z289" s="266">
        <v>1470911</v>
      </c>
      <c r="AA289" s="41"/>
      <c r="AB289" s="41"/>
      <c r="AC289" s="41"/>
      <c r="AD289" s="41"/>
      <c r="AE289" s="236">
        <f t="shared" si="149"/>
        <v>1470911</v>
      </c>
      <c r="AF289" s="239">
        <f t="shared" si="150"/>
        <v>42300</v>
      </c>
      <c r="AG289" s="8"/>
      <c r="AH289" s="8"/>
      <c r="AI289" s="8"/>
    </row>
    <row r="290" spans="1:35" ht="30" hidden="1" customHeight="1" x14ac:dyDescent="0.3">
      <c r="A290" s="3">
        <f t="shared" si="63"/>
        <v>289</v>
      </c>
      <c r="B290" s="381" t="s">
        <v>856</v>
      </c>
      <c r="C290" s="46">
        <v>46055</v>
      </c>
      <c r="D290" s="334" t="s">
        <v>288</v>
      </c>
      <c r="E290" s="376" t="s">
        <v>855</v>
      </c>
      <c r="F290" s="376" t="s">
        <v>626</v>
      </c>
      <c r="G290" s="261">
        <v>24</v>
      </c>
      <c r="H290" s="8" t="s">
        <v>627</v>
      </c>
      <c r="I290" s="24" t="s">
        <v>863</v>
      </c>
      <c r="J290" s="39">
        <v>5859461</v>
      </c>
      <c r="K290" s="8">
        <f t="shared" si="145"/>
        <v>0</v>
      </c>
      <c r="L290" s="8">
        <f t="shared" si="146"/>
        <v>0</v>
      </c>
      <c r="M290" s="40">
        <f t="shared" si="147"/>
        <v>1054703</v>
      </c>
      <c r="N290" s="406">
        <f t="shared" si="148"/>
        <v>6914164</v>
      </c>
      <c r="O290" s="21">
        <f>J290*2%</f>
        <v>117189.22</v>
      </c>
      <c r="P290" s="349">
        <f t="shared" ref="P290" si="152">O290/J290</f>
        <v>0.02</v>
      </c>
      <c r="Q290" s="23">
        <v>6800074</v>
      </c>
      <c r="R290" s="67">
        <v>46076</v>
      </c>
      <c r="S290" s="6" t="s">
        <v>74</v>
      </c>
      <c r="T290" s="20" t="s">
        <v>147</v>
      </c>
      <c r="U290" s="66">
        <f>ROUND(N290-O290-Q290+3099,0)</f>
        <v>0</v>
      </c>
      <c r="V290" s="8"/>
      <c r="W290" s="7" t="str">
        <f t="shared" si="151"/>
        <v>No Due</v>
      </c>
      <c r="X290" s="8"/>
      <c r="Y290" s="8"/>
      <c r="Z290" s="266">
        <v>4590905</v>
      </c>
      <c r="AA290" s="41">
        <v>769644</v>
      </c>
      <c r="AB290" s="41"/>
      <c r="AC290" s="41">
        <v>45200</v>
      </c>
      <c r="AD290" s="41">
        <f>172999+1662</f>
        <v>174661</v>
      </c>
      <c r="AE290" s="236">
        <f t="shared" si="149"/>
        <v>5580410</v>
      </c>
      <c r="AF290" s="239">
        <f>J290-AE290</f>
        <v>279051</v>
      </c>
      <c r="AG290" s="8"/>
      <c r="AH290" s="8"/>
      <c r="AI290" s="237" t="s">
        <v>1003</v>
      </c>
    </row>
    <row r="291" spans="1:35" ht="30" hidden="1" customHeight="1" x14ac:dyDescent="0.3">
      <c r="A291" s="3">
        <f t="shared" si="63"/>
        <v>290</v>
      </c>
      <c r="B291" s="381" t="s">
        <v>856</v>
      </c>
      <c r="C291" s="46">
        <v>46058</v>
      </c>
      <c r="D291" s="46" t="s">
        <v>33</v>
      </c>
      <c r="E291" s="397" t="s">
        <v>857</v>
      </c>
      <c r="F291" s="260" t="s">
        <v>34</v>
      </c>
      <c r="G291" s="261">
        <v>36</v>
      </c>
      <c r="H291" s="8" t="s">
        <v>55</v>
      </c>
      <c r="I291" s="24" t="s">
        <v>861</v>
      </c>
      <c r="J291" s="39">
        <f>(72050*12)+(53350*1)+(99751*15)</f>
        <v>2414215</v>
      </c>
      <c r="K291" s="148">
        <f t="shared" si="145"/>
        <v>217279</v>
      </c>
      <c r="L291" s="40">
        <f t="shared" si="146"/>
        <v>217279</v>
      </c>
      <c r="M291" s="40">
        <f t="shared" si="147"/>
        <v>0</v>
      </c>
      <c r="N291" s="406">
        <f t="shared" si="148"/>
        <v>2848773</v>
      </c>
      <c r="O291" s="49">
        <f>N291-Q291</f>
        <v>6034</v>
      </c>
      <c r="P291" s="9">
        <f>O291/J291</f>
        <v>2.4993631470270877E-3</v>
      </c>
      <c r="Q291" s="8">
        <v>2842739</v>
      </c>
      <c r="R291" s="67">
        <v>46092</v>
      </c>
      <c r="S291" s="8" t="s">
        <v>74</v>
      </c>
      <c r="T291" s="20" t="s">
        <v>124</v>
      </c>
      <c r="U291" s="66">
        <f t="shared" ref="U291:U293" si="153">N291-O291-Q291</f>
        <v>0</v>
      </c>
      <c r="V291" s="8"/>
      <c r="W291" s="7" t="str">
        <f t="shared" si="151"/>
        <v>No Due</v>
      </c>
      <c r="X291" s="8"/>
      <c r="Y291" s="8"/>
      <c r="Z291" s="266"/>
      <c r="AA291" s="41"/>
      <c r="AB291" s="41"/>
      <c r="AC291" s="41"/>
      <c r="AD291" s="41"/>
      <c r="AE291" s="236"/>
      <c r="AF291" s="239"/>
      <c r="AG291" s="8"/>
      <c r="AH291" s="8"/>
      <c r="AI291" s="8"/>
    </row>
    <row r="292" spans="1:35" ht="30" hidden="1" customHeight="1" x14ac:dyDescent="0.3">
      <c r="A292" s="3">
        <f t="shared" si="63"/>
        <v>291</v>
      </c>
      <c r="B292" s="381" t="s">
        <v>856</v>
      </c>
      <c r="C292" s="46">
        <v>46056</v>
      </c>
      <c r="D292" s="164" t="s">
        <v>70</v>
      </c>
      <c r="E292" s="376" t="s">
        <v>858</v>
      </c>
      <c r="F292" s="260" t="s">
        <v>134</v>
      </c>
      <c r="G292" s="261">
        <v>10</v>
      </c>
      <c r="H292" s="8" t="s">
        <v>39</v>
      </c>
      <c r="I292" s="24" t="s">
        <v>864</v>
      </c>
      <c r="J292" s="39">
        <v>39001</v>
      </c>
      <c r="K292" s="148">
        <f t="shared" si="145"/>
        <v>0</v>
      </c>
      <c r="L292" s="40">
        <f t="shared" si="146"/>
        <v>0</v>
      </c>
      <c r="M292" s="40">
        <f t="shared" si="147"/>
        <v>7020</v>
      </c>
      <c r="N292" s="406">
        <f t="shared" si="148"/>
        <v>46021</v>
      </c>
      <c r="O292" s="49">
        <f>N292-Q292</f>
        <v>780</v>
      </c>
      <c r="P292" s="9">
        <f t="shared" ref="P292" si="154">O292/J292</f>
        <v>1.9999487192636087E-2</v>
      </c>
      <c r="Q292" s="8">
        <f>38221+7020</f>
        <v>45241</v>
      </c>
      <c r="R292" s="391" t="s">
        <v>1000</v>
      </c>
      <c r="S292" s="8"/>
      <c r="T292" s="20"/>
      <c r="U292" s="66">
        <f t="shared" si="153"/>
        <v>0</v>
      </c>
      <c r="V292" s="8"/>
      <c r="W292" s="7" t="str">
        <f t="shared" si="151"/>
        <v>No Due</v>
      </c>
      <c r="X292" s="8"/>
      <c r="Y292" s="8"/>
      <c r="Z292" s="266">
        <v>34201</v>
      </c>
      <c r="AA292" s="41">
        <v>3750</v>
      </c>
      <c r="AB292" s="41">
        <v>0</v>
      </c>
      <c r="AC292" s="41">
        <v>200</v>
      </c>
      <c r="AD292" s="41"/>
      <c r="AE292" s="236">
        <f t="shared" ref="AE292:AE293" si="155">SUM(Z292:AD292)</f>
        <v>38151</v>
      </c>
      <c r="AF292" s="239">
        <f t="shared" ref="AF292:AF293" si="156">J292-AE292</f>
        <v>850</v>
      </c>
      <c r="AG292" s="8"/>
      <c r="AH292" s="8"/>
      <c r="AI292" s="8"/>
    </row>
    <row r="293" spans="1:35" ht="30" hidden="1" customHeight="1" x14ac:dyDescent="0.3">
      <c r="A293" s="3">
        <f t="shared" si="63"/>
        <v>292</v>
      </c>
      <c r="B293" s="381" t="s">
        <v>856</v>
      </c>
      <c r="C293" s="46">
        <v>46056</v>
      </c>
      <c r="D293" s="164" t="s">
        <v>70</v>
      </c>
      <c r="E293" s="376" t="s">
        <v>859</v>
      </c>
      <c r="F293" s="260" t="s">
        <v>134</v>
      </c>
      <c r="G293" s="261">
        <v>10</v>
      </c>
      <c r="H293" s="8" t="s">
        <v>39</v>
      </c>
      <c r="I293" s="24" t="s">
        <v>864</v>
      </c>
      <c r="J293" s="39">
        <v>60709</v>
      </c>
      <c r="K293" s="148">
        <f t="shared" si="145"/>
        <v>0</v>
      </c>
      <c r="L293" s="40">
        <f t="shared" si="146"/>
        <v>0</v>
      </c>
      <c r="M293" s="40">
        <f t="shared" si="147"/>
        <v>10928</v>
      </c>
      <c r="N293" s="406">
        <f t="shared" si="148"/>
        <v>71637</v>
      </c>
      <c r="O293" s="49">
        <f>N293-Q293</f>
        <v>6072</v>
      </c>
      <c r="P293" s="9">
        <f t="shared" ref="P293" si="157">O293/J293</f>
        <v>0.10001811922449719</v>
      </c>
      <c r="Q293" s="403">
        <f>54638+10927</f>
        <v>65565</v>
      </c>
      <c r="R293" s="391" t="s">
        <v>1000</v>
      </c>
      <c r="S293" s="8"/>
      <c r="T293" s="20"/>
      <c r="U293" s="66">
        <f t="shared" si="153"/>
        <v>0</v>
      </c>
      <c r="V293" s="8"/>
      <c r="W293" s="7" t="str">
        <f t="shared" si="151"/>
        <v>No Due</v>
      </c>
      <c r="X293" s="8"/>
      <c r="Y293" s="8"/>
      <c r="Z293" s="266">
        <v>55909</v>
      </c>
      <c r="AA293" s="41">
        <v>3750</v>
      </c>
      <c r="AB293" s="41">
        <v>0</v>
      </c>
      <c r="AC293" s="41">
        <v>200</v>
      </c>
      <c r="AD293" s="41"/>
      <c r="AE293" s="236">
        <f t="shared" si="155"/>
        <v>59859</v>
      </c>
      <c r="AF293" s="239">
        <f t="shared" si="156"/>
        <v>850</v>
      </c>
      <c r="AG293" s="8"/>
      <c r="AH293" s="8"/>
      <c r="AI293" s="8"/>
    </row>
    <row r="294" spans="1:35" ht="30" hidden="1" customHeight="1" x14ac:dyDescent="0.3">
      <c r="A294" s="3">
        <f t="shared" si="63"/>
        <v>293</v>
      </c>
      <c r="B294" s="381" t="s">
        <v>856</v>
      </c>
      <c r="C294" s="46">
        <v>46057</v>
      </c>
      <c r="D294" s="384" t="s">
        <v>70</v>
      </c>
      <c r="E294" s="376" t="s">
        <v>860</v>
      </c>
      <c r="F294" s="19" t="s">
        <v>824</v>
      </c>
      <c r="G294" s="261">
        <v>24</v>
      </c>
      <c r="H294" s="8" t="s">
        <v>810</v>
      </c>
      <c r="I294" s="24" t="s">
        <v>867</v>
      </c>
      <c r="J294" s="39">
        <v>116862</v>
      </c>
      <c r="K294" s="43">
        <f t="shared" si="145"/>
        <v>0</v>
      </c>
      <c r="L294" s="40">
        <f t="shared" si="146"/>
        <v>0</v>
      </c>
      <c r="M294" s="40">
        <f t="shared" si="147"/>
        <v>21035</v>
      </c>
      <c r="N294" s="406">
        <f t="shared" si="148"/>
        <v>137897</v>
      </c>
      <c r="O294" s="386">
        <f>J294*2%</f>
        <v>2337.2400000000002</v>
      </c>
      <c r="P294" s="385">
        <f>O294/J294</f>
        <v>0.02</v>
      </c>
      <c r="Q294" s="378">
        <f>N294-O294</f>
        <v>135559.76</v>
      </c>
      <c r="R294" s="67">
        <v>46119</v>
      </c>
      <c r="S294" s="8" t="s">
        <v>74</v>
      </c>
      <c r="T294" s="20" t="s">
        <v>992</v>
      </c>
      <c r="U294" s="66">
        <f t="shared" si="118"/>
        <v>0</v>
      </c>
      <c r="V294" s="8"/>
      <c r="W294" s="7" t="str">
        <f t="shared" si="151"/>
        <v>No Due</v>
      </c>
      <c r="X294" s="8"/>
      <c r="Y294" s="8"/>
      <c r="Z294" s="266">
        <v>94337</v>
      </c>
      <c r="AA294" s="41">
        <v>13445</v>
      </c>
      <c r="AB294" s="41"/>
      <c r="AC294" s="41">
        <v>800</v>
      </c>
      <c r="AD294" s="41"/>
      <c r="AE294" s="236">
        <f>SUBTOTAL(9,Z294:AC294)</f>
        <v>0</v>
      </c>
      <c r="AF294" s="239">
        <f>J294-AE294</f>
        <v>116862</v>
      </c>
      <c r="AG294" s="8"/>
      <c r="AH294" s="8"/>
      <c r="AI294" s="8"/>
    </row>
    <row r="295" spans="1:35" ht="30" hidden="1" customHeight="1" x14ac:dyDescent="0.3">
      <c r="A295" s="3">
        <f t="shared" si="63"/>
        <v>294</v>
      </c>
      <c r="B295" s="381" t="s">
        <v>856</v>
      </c>
      <c r="C295" s="46">
        <v>46057</v>
      </c>
      <c r="D295" s="384" t="s">
        <v>70</v>
      </c>
      <c r="E295" s="376" t="s">
        <v>865</v>
      </c>
      <c r="F295" s="19" t="s">
        <v>824</v>
      </c>
      <c r="G295" s="261">
        <v>24</v>
      </c>
      <c r="H295" s="8" t="s">
        <v>810</v>
      </c>
      <c r="I295" s="24" t="s">
        <v>868</v>
      </c>
      <c r="J295" s="39">
        <v>74228</v>
      </c>
      <c r="K295" s="43">
        <f t="shared" ref="K295:K298" si="158">ROUND(IF(G295=36,J295*9%,0),0)</f>
        <v>0</v>
      </c>
      <c r="L295" s="40">
        <f t="shared" ref="L295:L298" si="159">ROUND(IF(G295=36,J295*9%,0),0)</f>
        <v>0</v>
      </c>
      <c r="M295" s="40">
        <f t="shared" ref="M295:M298" si="160">ROUND(IF(G295=36,J295*0%,J295*18%),0)</f>
        <v>13361</v>
      </c>
      <c r="N295" s="406">
        <f t="shared" ref="N295:N298" si="161">J295+K295+L295+M295</f>
        <v>87589</v>
      </c>
      <c r="O295" s="386">
        <f>J295*2%</f>
        <v>1484.56</v>
      </c>
      <c r="P295" s="385">
        <f>O295/J295</f>
        <v>0.02</v>
      </c>
      <c r="Q295" s="378">
        <f>N295-O295</f>
        <v>86104.44</v>
      </c>
      <c r="R295" s="67">
        <v>46119</v>
      </c>
      <c r="S295" s="8" t="s">
        <v>74</v>
      </c>
      <c r="T295" s="20" t="s">
        <v>992</v>
      </c>
      <c r="U295" s="66">
        <f t="shared" si="118"/>
        <v>0</v>
      </c>
      <c r="V295" s="8"/>
      <c r="W295" s="7" t="str">
        <f t="shared" si="151"/>
        <v>No Due</v>
      </c>
      <c r="X295" s="8"/>
      <c r="Y295" s="8"/>
      <c r="Z295" s="266">
        <v>58517</v>
      </c>
      <c r="AA295" s="41">
        <v>9791</v>
      </c>
      <c r="AB295" s="41"/>
      <c r="AC295" s="41">
        <v>400</v>
      </c>
      <c r="AD295" s="41"/>
      <c r="AE295" s="236">
        <f>SUBTOTAL(9,Z295:AC295)</f>
        <v>0</v>
      </c>
      <c r="AF295" s="239">
        <f>J295-AE295</f>
        <v>74228</v>
      </c>
      <c r="AG295" s="8"/>
      <c r="AH295" s="8"/>
      <c r="AI295" s="8"/>
    </row>
    <row r="296" spans="1:35" ht="30" hidden="1" customHeight="1" x14ac:dyDescent="0.3">
      <c r="A296" s="3">
        <f t="shared" si="63"/>
        <v>295</v>
      </c>
      <c r="B296" s="381" t="s">
        <v>856</v>
      </c>
      <c r="C296" s="46">
        <v>46057</v>
      </c>
      <c r="D296" s="384" t="s">
        <v>70</v>
      </c>
      <c r="E296" s="376" t="s">
        <v>866</v>
      </c>
      <c r="F296" s="19" t="s">
        <v>824</v>
      </c>
      <c r="G296" s="261">
        <v>24</v>
      </c>
      <c r="H296" s="8" t="s">
        <v>810</v>
      </c>
      <c r="I296" s="24" t="s">
        <v>869</v>
      </c>
      <c r="J296" s="39">
        <v>29236</v>
      </c>
      <c r="K296" s="43">
        <f t="shared" si="158"/>
        <v>0</v>
      </c>
      <c r="L296" s="40">
        <f t="shared" si="159"/>
        <v>0</v>
      </c>
      <c r="M296" s="40">
        <f t="shared" si="160"/>
        <v>5262</v>
      </c>
      <c r="N296" s="406">
        <f t="shared" si="161"/>
        <v>34498</v>
      </c>
      <c r="O296" s="386">
        <f>J296*2%</f>
        <v>584.72</v>
      </c>
      <c r="P296" s="385">
        <f>O296/J296</f>
        <v>0.02</v>
      </c>
      <c r="Q296" s="378">
        <f>N296-O296</f>
        <v>33913.279999999999</v>
      </c>
      <c r="R296" s="67">
        <v>46119</v>
      </c>
      <c r="S296" s="8" t="s">
        <v>74</v>
      </c>
      <c r="T296" s="20" t="s">
        <v>992</v>
      </c>
      <c r="U296" s="66">
        <f t="shared" si="118"/>
        <v>0</v>
      </c>
      <c r="V296" s="8"/>
      <c r="W296" s="7" t="str">
        <f t="shared" si="151"/>
        <v>No Due</v>
      </c>
      <c r="X296" s="8"/>
      <c r="Y296" s="8"/>
      <c r="Z296" s="266">
        <v>22913</v>
      </c>
      <c r="AA296" s="41">
        <v>3363</v>
      </c>
      <c r="AB296" s="41"/>
      <c r="AC296" s="41">
        <v>200</v>
      </c>
      <c r="AD296" s="41"/>
      <c r="AE296" s="236">
        <f>SUBTOTAL(9,Z296:AC296)</f>
        <v>0</v>
      </c>
      <c r="AF296" s="239">
        <f>J296-AE296</f>
        <v>29236</v>
      </c>
      <c r="AG296" s="8"/>
      <c r="AH296" s="8"/>
      <c r="AI296" s="8"/>
    </row>
    <row r="297" spans="1:35" ht="30" hidden="1" customHeight="1" x14ac:dyDescent="0.3">
      <c r="A297" s="3">
        <f t="shared" si="63"/>
        <v>296</v>
      </c>
      <c r="B297" s="381" t="s">
        <v>856</v>
      </c>
      <c r="C297" s="46">
        <v>46058</v>
      </c>
      <c r="D297" s="46" t="s">
        <v>33</v>
      </c>
      <c r="E297" s="397" t="s">
        <v>870</v>
      </c>
      <c r="F297" s="260" t="s">
        <v>34</v>
      </c>
      <c r="G297" s="261">
        <v>36</v>
      </c>
      <c r="H297" s="8" t="s">
        <v>55</v>
      </c>
      <c r="I297" s="24" t="s">
        <v>871</v>
      </c>
      <c r="J297" s="39">
        <v>89000</v>
      </c>
      <c r="K297" s="43">
        <f t="shared" si="158"/>
        <v>8010</v>
      </c>
      <c r="L297" s="40">
        <f t="shared" si="159"/>
        <v>8010</v>
      </c>
      <c r="M297" s="40">
        <f t="shared" si="160"/>
        <v>0</v>
      </c>
      <c r="N297" s="406">
        <f t="shared" si="161"/>
        <v>105020</v>
      </c>
      <c r="O297" s="378">
        <f>J297*0.25%</f>
        <v>222.5</v>
      </c>
      <c r="P297" s="9">
        <f>O297/J297</f>
        <v>2.5000000000000001E-3</v>
      </c>
      <c r="Q297" s="378">
        <f>N297-O297</f>
        <v>104797.5</v>
      </c>
      <c r="R297" s="67">
        <v>46085</v>
      </c>
      <c r="S297" s="8" t="s">
        <v>74</v>
      </c>
      <c r="T297" s="20" t="s">
        <v>124</v>
      </c>
      <c r="U297" s="66">
        <f t="shared" si="118"/>
        <v>0</v>
      </c>
      <c r="V297" s="8"/>
      <c r="W297" s="367" t="str">
        <f t="shared" si="151"/>
        <v>No Due</v>
      </c>
      <c r="X297" s="8"/>
      <c r="Y297" s="8"/>
      <c r="Z297" s="266"/>
      <c r="AA297" s="41"/>
      <c r="AB297" s="41"/>
      <c r="AC297" s="41"/>
      <c r="AD297" s="41"/>
      <c r="AE297" s="236"/>
      <c r="AF297" s="239"/>
      <c r="AG297" s="8"/>
      <c r="AH297" s="8"/>
      <c r="AI297" s="8"/>
    </row>
    <row r="298" spans="1:35" ht="30" hidden="1" customHeight="1" x14ac:dyDescent="0.3">
      <c r="A298" s="3">
        <f t="shared" si="63"/>
        <v>297</v>
      </c>
      <c r="B298" s="381" t="s">
        <v>856</v>
      </c>
      <c r="C298" s="46">
        <v>46058</v>
      </c>
      <c r="D298" s="60" t="s">
        <v>33</v>
      </c>
      <c r="E298" s="397" t="s">
        <v>872</v>
      </c>
      <c r="F298" s="260" t="s">
        <v>37</v>
      </c>
      <c r="G298" s="261">
        <v>36</v>
      </c>
      <c r="H298" s="8" t="s">
        <v>38</v>
      </c>
      <c r="I298" s="24" t="s">
        <v>862</v>
      </c>
      <c r="J298" s="39">
        <v>728333</v>
      </c>
      <c r="K298" s="8">
        <f t="shared" si="158"/>
        <v>65550</v>
      </c>
      <c r="L298" s="8">
        <f t="shared" si="159"/>
        <v>65550</v>
      </c>
      <c r="M298" s="8">
        <f t="shared" si="160"/>
        <v>0</v>
      </c>
      <c r="N298" s="406">
        <f t="shared" si="161"/>
        <v>859433</v>
      </c>
      <c r="O298" s="386">
        <f>J298*10%</f>
        <v>72833.3</v>
      </c>
      <c r="P298" s="9">
        <f t="shared" ref="P298" si="162">O298/J298</f>
        <v>0.1</v>
      </c>
      <c r="Q298" s="23">
        <v>786600</v>
      </c>
      <c r="R298" s="67">
        <v>46205</v>
      </c>
      <c r="S298" s="8" t="s">
        <v>74</v>
      </c>
      <c r="T298" s="20" t="s">
        <v>124</v>
      </c>
      <c r="U298" s="66">
        <f t="shared" si="118"/>
        <v>-0.30000000004656613</v>
      </c>
      <c r="V298" s="8"/>
      <c r="W298" s="7" t="str">
        <f t="shared" si="151"/>
        <v>Outstanding</v>
      </c>
      <c r="X298" s="8"/>
      <c r="Y298" s="8"/>
      <c r="Z298" s="266">
        <v>519849</v>
      </c>
      <c r="AA298" s="41">
        <v>15000</v>
      </c>
      <c r="AB298" s="41"/>
      <c r="AC298" s="41">
        <v>800</v>
      </c>
      <c r="AD298" s="41">
        <v>73390</v>
      </c>
      <c r="AE298" s="236">
        <f t="shared" ref="AE298" si="163">SUM(Z298:AD298)</f>
        <v>609039</v>
      </c>
      <c r="AF298" s="239">
        <f>J298-AE298</f>
        <v>119294</v>
      </c>
      <c r="AG298" s="8"/>
      <c r="AH298" s="8"/>
      <c r="AI298" s="8"/>
    </row>
    <row r="299" spans="1:35" ht="30" hidden="1" customHeight="1" x14ac:dyDescent="0.3">
      <c r="A299" s="3">
        <f t="shared" si="63"/>
        <v>298</v>
      </c>
      <c r="B299" s="381" t="s">
        <v>856</v>
      </c>
      <c r="C299" s="46">
        <v>46058</v>
      </c>
      <c r="D299" s="46" t="s">
        <v>33</v>
      </c>
      <c r="E299" s="397" t="s">
        <v>874</v>
      </c>
      <c r="F299" s="260" t="s">
        <v>34</v>
      </c>
      <c r="G299" s="261">
        <v>36</v>
      </c>
      <c r="H299" s="8" t="s">
        <v>55</v>
      </c>
      <c r="I299" s="24" t="s">
        <v>873</v>
      </c>
      <c r="J299" s="39">
        <v>16494</v>
      </c>
      <c r="K299" s="8">
        <f t="shared" ref="K299:K304" si="164">ROUND(IF(G299=36,J299*9%,0),0)</f>
        <v>1484</v>
      </c>
      <c r="L299" s="8">
        <f t="shared" ref="L299:L304" si="165">ROUND(IF(G299=36,J299*9%,0),0)</f>
        <v>1484</v>
      </c>
      <c r="M299" s="8">
        <f t="shared" ref="M299:M308" si="166">ROUND(IF(G299=36,J299*0%,J299*18%),0)</f>
        <v>0</v>
      </c>
      <c r="N299" s="406">
        <f t="shared" ref="N299:N304" si="167">J299+K299+L299+M299</f>
        <v>19462</v>
      </c>
      <c r="O299" s="378">
        <f t="shared" ref="O299:O304" si="168">J299*0.25%</f>
        <v>41.234999999999999</v>
      </c>
      <c r="P299" s="9">
        <f>O299/J299</f>
        <v>2.5000000000000001E-3</v>
      </c>
      <c r="Q299" s="378">
        <f t="shared" ref="Q299:Q304" si="169">N299-O299</f>
        <v>19420.764999999999</v>
      </c>
      <c r="R299" s="67">
        <v>46085</v>
      </c>
      <c r="S299" s="8" t="s">
        <v>74</v>
      </c>
      <c r="T299" s="20" t="s">
        <v>124</v>
      </c>
      <c r="U299" s="66">
        <f t="shared" si="118"/>
        <v>0</v>
      </c>
      <c r="V299" s="8"/>
      <c r="W299" s="367" t="str">
        <f t="shared" si="151"/>
        <v>No Due</v>
      </c>
      <c r="X299" s="8"/>
      <c r="Y299" s="8"/>
      <c r="Z299" s="266"/>
      <c r="AA299" s="41"/>
      <c r="AB299" s="41"/>
      <c r="AC299" s="41"/>
      <c r="AD299" s="41"/>
      <c r="AE299" s="236"/>
      <c r="AF299" s="239">
        <f t="shared" ref="AF299" si="170">J299-AE299</f>
        <v>16494</v>
      </c>
      <c r="AG299" s="237">
        <f t="shared" ref="AG299" si="171">AF299</f>
        <v>16494</v>
      </c>
      <c r="AH299" s="8"/>
      <c r="AI299" s="8"/>
    </row>
    <row r="300" spans="1:35" ht="30" hidden="1" customHeight="1" x14ac:dyDescent="0.3">
      <c r="A300" s="3">
        <f t="shared" si="63"/>
        <v>299</v>
      </c>
      <c r="B300" s="381" t="s">
        <v>856</v>
      </c>
      <c r="C300" s="46">
        <v>46063</v>
      </c>
      <c r="D300" s="167" t="s">
        <v>70</v>
      </c>
      <c r="E300" s="397" t="s">
        <v>877</v>
      </c>
      <c r="F300" s="167" t="s">
        <v>138</v>
      </c>
      <c r="G300" s="168">
        <v>36</v>
      </c>
      <c r="H300" s="8" t="s">
        <v>49</v>
      </c>
      <c r="I300" s="24" t="s">
        <v>882</v>
      </c>
      <c r="J300" s="39">
        <v>28828872</v>
      </c>
      <c r="K300" s="8">
        <f t="shared" si="164"/>
        <v>2594598</v>
      </c>
      <c r="L300" s="8">
        <f t="shared" si="165"/>
        <v>2594598</v>
      </c>
      <c r="M300" s="8">
        <f t="shared" si="166"/>
        <v>0</v>
      </c>
      <c r="N300" s="407">
        <f t="shared" si="167"/>
        <v>34018068</v>
      </c>
      <c r="O300" s="378">
        <f t="shared" si="168"/>
        <v>72072.180000000008</v>
      </c>
      <c r="P300" s="9">
        <f t="shared" ref="P300:P305" si="172">O300/J300</f>
        <v>2.5000000000000001E-3</v>
      </c>
      <c r="Q300" s="393">
        <f t="shared" si="169"/>
        <v>33945995.82</v>
      </c>
      <c r="R300" s="8"/>
      <c r="S300" s="8"/>
      <c r="T300" s="20"/>
      <c r="U300" s="66">
        <f>ROUND(N300-O300-Q300,0)+1-1</f>
        <v>0</v>
      </c>
      <c r="V300" s="8"/>
      <c r="W300" s="7" t="str">
        <f t="shared" si="151"/>
        <v>No Due</v>
      </c>
      <c r="X300" s="8"/>
      <c r="Y300" s="8"/>
      <c r="Z300" s="266">
        <v>26089821</v>
      </c>
      <c r="AA300" s="41">
        <v>2277345</v>
      </c>
      <c r="AB300" s="41">
        <v>756</v>
      </c>
      <c r="AC300" s="41">
        <v>121050</v>
      </c>
      <c r="AD300" s="41"/>
      <c r="AE300" s="236">
        <f>SUM(Z300:AD300)</f>
        <v>28488972</v>
      </c>
      <c r="AF300" s="239">
        <f>J300-AE300</f>
        <v>339900</v>
      </c>
      <c r="AG300" s="8"/>
      <c r="AH300" s="8"/>
      <c r="AI300" s="237"/>
    </row>
    <row r="301" spans="1:35" ht="30" hidden="1" customHeight="1" x14ac:dyDescent="0.3">
      <c r="A301" s="3">
        <f t="shared" ref="A301:A358" si="173">A300+1</f>
        <v>300</v>
      </c>
      <c r="B301" s="381" t="s">
        <v>856</v>
      </c>
      <c r="C301" s="46">
        <v>46063</v>
      </c>
      <c r="D301" s="167" t="s">
        <v>70</v>
      </c>
      <c r="E301" s="397" t="s">
        <v>878</v>
      </c>
      <c r="F301" s="167" t="s">
        <v>138</v>
      </c>
      <c r="G301" s="168">
        <v>36</v>
      </c>
      <c r="H301" s="8" t="s">
        <v>49</v>
      </c>
      <c r="I301" s="24" t="s">
        <v>886</v>
      </c>
      <c r="J301" s="39">
        <v>859245</v>
      </c>
      <c r="K301" s="8">
        <f t="shared" si="164"/>
        <v>77332</v>
      </c>
      <c r="L301" s="8">
        <f t="shared" si="165"/>
        <v>77332</v>
      </c>
      <c r="M301" s="8">
        <f t="shared" si="166"/>
        <v>0</v>
      </c>
      <c r="N301" s="407">
        <f t="shared" si="167"/>
        <v>1013909</v>
      </c>
      <c r="O301" s="378">
        <f t="shared" si="168"/>
        <v>2148.1125000000002</v>
      </c>
      <c r="P301" s="9">
        <f t="shared" si="172"/>
        <v>2.5000000000000001E-3</v>
      </c>
      <c r="Q301" s="393">
        <f t="shared" si="169"/>
        <v>1011760.8875</v>
      </c>
      <c r="R301" s="8"/>
      <c r="S301" s="8"/>
      <c r="T301" s="20"/>
      <c r="U301" s="66">
        <f>ROUND(N301-O301-Q301,0)+1-1</f>
        <v>0</v>
      </c>
      <c r="V301" s="8"/>
      <c r="W301" s="7" t="str">
        <f t="shared" si="151"/>
        <v>No Due</v>
      </c>
      <c r="X301" s="8"/>
      <c r="Y301" s="8"/>
      <c r="Z301" s="266">
        <v>850445</v>
      </c>
      <c r="AA301" s="41"/>
      <c r="AB301" s="41"/>
      <c r="AC301" s="41"/>
      <c r="AD301" s="41"/>
      <c r="AE301" s="236">
        <f>SUM(Z301:AD301)</f>
        <v>850445</v>
      </c>
      <c r="AF301" s="239">
        <f>J301-AE301</f>
        <v>8800</v>
      </c>
      <c r="AG301" s="237">
        <f t="shared" ref="AG301" si="174">AF301</f>
        <v>8800</v>
      </c>
      <c r="AH301" s="8"/>
      <c r="AI301" s="237"/>
    </row>
    <row r="302" spans="1:35" ht="30" hidden="1" customHeight="1" x14ac:dyDescent="0.3">
      <c r="A302" s="3">
        <f t="shared" si="173"/>
        <v>301</v>
      </c>
      <c r="B302" s="381" t="s">
        <v>856</v>
      </c>
      <c r="C302" s="46">
        <v>46063</v>
      </c>
      <c r="D302" s="167" t="s">
        <v>70</v>
      </c>
      <c r="E302" s="397" t="s">
        <v>879</v>
      </c>
      <c r="F302" s="167" t="s">
        <v>138</v>
      </c>
      <c r="G302" s="168">
        <v>36</v>
      </c>
      <c r="H302" s="8" t="s">
        <v>49</v>
      </c>
      <c r="I302" s="24" t="s">
        <v>883</v>
      </c>
      <c r="J302" s="39">
        <v>2727</v>
      </c>
      <c r="K302" s="8">
        <f t="shared" si="164"/>
        <v>245</v>
      </c>
      <c r="L302" s="8">
        <f t="shared" si="165"/>
        <v>245</v>
      </c>
      <c r="M302" s="8">
        <f t="shared" si="166"/>
        <v>0</v>
      </c>
      <c r="N302" s="407">
        <f t="shared" si="167"/>
        <v>3217</v>
      </c>
      <c r="O302" s="378">
        <f t="shared" si="168"/>
        <v>6.8174999999999999</v>
      </c>
      <c r="P302" s="9">
        <f t="shared" si="172"/>
        <v>2.5000000000000001E-3</v>
      </c>
      <c r="Q302" s="393">
        <f t="shared" si="169"/>
        <v>3210.1824999999999</v>
      </c>
      <c r="R302" s="8"/>
      <c r="S302" s="8"/>
      <c r="T302" s="20"/>
      <c r="U302" s="66">
        <f>ROUND(N302-O302-Q302,0)+1-1</f>
        <v>0</v>
      </c>
      <c r="V302" s="8"/>
      <c r="W302" s="7" t="str">
        <f t="shared" si="151"/>
        <v>No Due</v>
      </c>
      <c r="X302" s="8"/>
      <c r="Y302" s="8"/>
      <c r="Z302" s="266">
        <v>2727</v>
      </c>
      <c r="AA302" s="41"/>
      <c r="AB302" s="41"/>
      <c r="AC302" s="41"/>
      <c r="AD302" s="41"/>
      <c r="AE302" s="236">
        <f>SUM(Z302:AD302)</f>
        <v>2727</v>
      </c>
      <c r="AF302" s="239">
        <f>J302-AE302</f>
        <v>0</v>
      </c>
      <c r="AG302" s="8"/>
      <c r="AH302" s="8"/>
      <c r="AI302" s="237"/>
    </row>
    <row r="303" spans="1:35" ht="30" hidden="1" customHeight="1" x14ac:dyDescent="0.3">
      <c r="A303" s="3">
        <f t="shared" si="173"/>
        <v>302</v>
      </c>
      <c r="B303" s="381" t="s">
        <v>856</v>
      </c>
      <c r="C303" s="46">
        <v>46063</v>
      </c>
      <c r="D303" s="167" t="s">
        <v>70</v>
      </c>
      <c r="E303" s="397" t="s">
        <v>880</v>
      </c>
      <c r="F303" s="167" t="s">
        <v>138</v>
      </c>
      <c r="G303" s="168">
        <v>36</v>
      </c>
      <c r="H303" s="8" t="s">
        <v>49</v>
      </c>
      <c r="I303" s="24" t="s">
        <v>884</v>
      </c>
      <c r="J303" s="39">
        <v>905534</v>
      </c>
      <c r="K303" s="8">
        <f t="shared" si="164"/>
        <v>81498</v>
      </c>
      <c r="L303" s="8">
        <f t="shared" si="165"/>
        <v>81498</v>
      </c>
      <c r="M303" s="8">
        <f t="shared" si="166"/>
        <v>0</v>
      </c>
      <c r="N303" s="407">
        <f t="shared" si="167"/>
        <v>1068530</v>
      </c>
      <c r="O303" s="378">
        <f t="shared" si="168"/>
        <v>2263.835</v>
      </c>
      <c r="P303" s="9">
        <f t="shared" si="172"/>
        <v>2.5000000000000001E-3</v>
      </c>
      <c r="Q303" s="393">
        <f t="shared" si="169"/>
        <v>1066266.165</v>
      </c>
      <c r="R303" s="8"/>
      <c r="S303" s="8"/>
      <c r="T303" s="20"/>
      <c r="U303" s="66">
        <f>ROUND(N303-O303-Q303,0)+1-1</f>
        <v>0</v>
      </c>
      <c r="V303" s="8"/>
      <c r="W303" s="7" t="str">
        <f t="shared" si="151"/>
        <v>No Due</v>
      </c>
      <c r="X303" s="8"/>
      <c r="Y303" s="8"/>
      <c r="Z303" s="266">
        <v>855484</v>
      </c>
      <c r="AA303" s="41"/>
      <c r="AB303" s="41"/>
      <c r="AC303" s="41"/>
      <c r="AD303" s="41"/>
      <c r="AE303" s="236">
        <f t="shared" ref="AE303:AE308" si="175">SUM(Z303:AD303)</f>
        <v>855484</v>
      </c>
      <c r="AF303" s="239">
        <f>J303-AE303</f>
        <v>50050</v>
      </c>
      <c r="AG303" s="8"/>
      <c r="AH303" s="8"/>
      <c r="AI303" s="237"/>
    </row>
    <row r="304" spans="1:35" ht="30" hidden="1" customHeight="1" x14ac:dyDescent="0.3">
      <c r="A304" s="3">
        <f t="shared" si="173"/>
        <v>303</v>
      </c>
      <c r="B304" s="381" t="s">
        <v>856</v>
      </c>
      <c r="C304" s="46">
        <v>46063</v>
      </c>
      <c r="D304" s="167" t="s">
        <v>70</v>
      </c>
      <c r="E304" s="397" t="s">
        <v>881</v>
      </c>
      <c r="F304" s="167" t="s">
        <v>138</v>
      </c>
      <c r="G304" s="168">
        <v>36</v>
      </c>
      <c r="H304" s="8" t="s">
        <v>49</v>
      </c>
      <c r="I304" s="24" t="s">
        <v>885</v>
      </c>
      <c r="J304" s="39">
        <v>4057520</v>
      </c>
      <c r="K304" s="8">
        <f t="shared" si="164"/>
        <v>365177</v>
      </c>
      <c r="L304" s="8">
        <f t="shared" si="165"/>
        <v>365177</v>
      </c>
      <c r="M304" s="8">
        <f t="shared" si="166"/>
        <v>0</v>
      </c>
      <c r="N304" s="407">
        <f t="shared" si="167"/>
        <v>4787874</v>
      </c>
      <c r="O304" s="378">
        <f t="shared" si="168"/>
        <v>10143.800000000001</v>
      </c>
      <c r="P304" s="9">
        <f t="shared" si="172"/>
        <v>2.5000000000000005E-3</v>
      </c>
      <c r="Q304" s="393">
        <f t="shared" si="169"/>
        <v>4777730.2</v>
      </c>
      <c r="R304" s="8"/>
      <c r="S304" s="8"/>
      <c r="T304" s="20"/>
      <c r="U304" s="66">
        <f>ROUND(N304-O304-Q304,0)+1-1</f>
        <v>0</v>
      </c>
      <c r="V304" s="8"/>
      <c r="W304" s="7" t="str">
        <f t="shared" si="151"/>
        <v>No Due</v>
      </c>
      <c r="X304" s="8"/>
      <c r="Y304" s="8"/>
      <c r="Z304" s="266">
        <v>4057520</v>
      </c>
      <c r="AA304" s="41"/>
      <c r="AB304" s="41"/>
      <c r="AC304" s="41"/>
      <c r="AD304" s="41"/>
      <c r="AE304" s="236">
        <f t="shared" si="175"/>
        <v>4057520</v>
      </c>
      <c r="AF304" s="239">
        <f>J304-AE304</f>
        <v>0</v>
      </c>
      <c r="AG304" s="8"/>
      <c r="AH304" s="8"/>
      <c r="AI304" s="237"/>
    </row>
    <row r="305" spans="1:35" ht="30" hidden="1" customHeight="1" x14ac:dyDescent="0.3">
      <c r="A305" s="3">
        <f t="shared" si="173"/>
        <v>304</v>
      </c>
      <c r="B305" s="381" t="s">
        <v>856</v>
      </c>
      <c r="C305" s="46">
        <v>46073</v>
      </c>
      <c r="D305" s="130" t="s">
        <v>129</v>
      </c>
      <c r="E305" s="376" t="s">
        <v>887</v>
      </c>
      <c r="F305" s="130" t="s">
        <v>146</v>
      </c>
      <c r="G305" s="131">
        <v>36</v>
      </c>
      <c r="H305" s="8" t="s">
        <v>52</v>
      </c>
      <c r="I305" s="24" t="s">
        <v>889</v>
      </c>
      <c r="J305" s="39">
        <f>91*200</f>
        <v>18200</v>
      </c>
      <c r="K305" s="169">
        <f>J305*9%</f>
        <v>1638</v>
      </c>
      <c r="L305" s="169">
        <f>J305*9%</f>
        <v>1638</v>
      </c>
      <c r="M305" s="8">
        <f t="shared" si="166"/>
        <v>0</v>
      </c>
      <c r="N305" s="406">
        <f t="shared" ref="N305" si="176">J305+K305+L305+M305</f>
        <v>21476</v>
      </c>
      <c r="O305" s="378">
        <f>N305-Q305</f>
        <v>1820</v>
      </c>
      <c r="P305" s="9">
        <f t="shared" si="172"/>
        <v>0.1</v>
      </c>
      <c r="Q305" s="8">
        <v>19656</v>
      </c>
      <c r="R305" s="8"/>
      <c r="S305" s="8"/>
      <c r="T305" s="20"/>
      <c r="U305" s="66">
        <f t="shared" ref="U305:U313" si="177">N305-O305-Q305</f>
        <v>0</v>
      </c>
      <c r="V305" s="8"/>
      <c r="W305" s="7" t="str">
        <f t="shared" ref="W305:W314" si="178">IF(U305=0,"No Due","Outstanding")</f>
        <v>No Due</v>
      </c>
      <c r="X305" s="8"/>
      <c r="Y305" s="8"/>
      <c r="Z305" s="266">
        <v>0</v>
      </c>
      <c r="AA305" s="41">
        <v>0</v>
      </c>
      <c r="AB305" s="41">
        <v>0</v>
      </c>
      <c r="AC305" s="41">
        <v>0</v>
      </c>
      <c r="AD305" s="41">
        <v>0</v>
      </c>
      <c r="AE305" s="236">
        <f t="shared" si="175"/>
        <v>0</v>
      </c>
      <c r="AF305" s="239">
        <f t="shared" ref="AF305:AF306" si="179">J305-AE305</f>
        <v>18200</v>
      </c>
      <c r="AG305" s="237">
        <v>600</v>
      </c>
      <c r="AH305" s="8"/>
      <c r="AI305" s="8"/>
    </row>
    <row r="306" spans="1:35" ht="30" hidden="1" customHeight="1" x14ac:dyDescent="0.3">
      <c r="A306" s="3">
        <f t="shared" si="173"/>
        <v>305</v>
      </c>
      <c r="B306" s="381" t="s">
        <v>856</v>
      </c>
      <c r="C306" s="46">
        <v>46073</v>
      </c>
      <c r="D306" s="130" t="s">
        <v>129</v>
      </c>
      <c r="E306" s="376" t="s">
        <v>888</v>
      </c>
      <c r="F306" s="130" t="s">
        <v>131</v>
      </c>
      <c r="G306" s="131">
        <v>36</v>
      </c>
      <c r="H306" s="8" t="s">
        <v>51</v>
      </c>
      <c r="I306" s="24" t="s">
        <v>889</v>
      </c>
      <c r="J306" s="39">
        <f>3*200</f>
        <v>600</v>
      </c>
      <c r="K306" s="169">
        <f>J306*9%</f>
        <v>54</v>
      </c>
      <c r="L306" s="169">
        <f>J306*9%</f>
        <v>54</v>
      </c>
      <c r="M306" s="8">
        <f t="shared" si="166"/>
        <v>0</v>
      </c>
      <c r="N306" s="406">
        <f>J306+K306+L306+M306</f>
        <v>708</v>
      </c>
      <c r="O306" s="49">
        <f>J306*10%</f>
        <v>60</v>
      </c>
      <c r="P306" s="349">
        <f>O306/J306</f>
        <v>0.1</v>
      </c>
      <c r="Q306" s="388">
        <v>648</v>
      </c>
      <c r="R306" s="8"/>
      <c r="S306" s="8"/>
      <c r="T306" s="20"/>
      <c r="U306" s="66">
        <f t="shared" si="177"/>
        <v>0</v>
      </c>
      <c r="V306" s="8"/>
      <c r="W306" s="7" t="str">
        <f t="shared" si="178"/>
        <v>No Due</v>
      </c>
      <c r="X306" s="8"/>
      <c r="Y306" s="8"/>
      <c r="Z306" s="266">
        <v>0</v>
      </c>
      <c r="AA306" s="41">
        <v>0</v>
      </c>
      <c r="AB306" s="41">
        <v>0</v>
      </c>
      <c r="AC306" s="41">
        <v>0</v>
      </c>
      <c r="AD306" s="41">
        <v>0</v>
      </c>
      <c r="AE306" s="236">
        <f t="shared" si="175"/>
        <v>0</v>
      </c>
      <c r="AF306" s="239">
        <f t="shared" si="179"/>
        <v>600</v>
      </c>
      <c r="AG306" s="237">
        <v>600</v>
      </c>
      <c r="AH306" s="8"/>
      <c r="AI306" s="8"/>
    </row>
    <row r="307" spans="1:35" ht="30" hidden="1" customHeight="1" x14ac:dyDescent="0.3">
      <c r="A307" s="3">
        <f t="shared" si="173"/>
        <v>306</v>
      </c>
      <c r="B307" s="381" t="s">
        <v>856</v>
      </c>
      <c r="C307" s="46">
        <v>46077</v>
      </c>
      <c r="D307" s="167" t="s">
        <v>70</v>
      </c>
      <c r="E307" s="397" t="s">
        <v>890</v>
      </c>
      <c r="F307" s="167" t="s">
        <v>138</v>
      </c>
      <c r="G307" s="168">
        <v>36</v>
      </c>
      <c r="H307" s="8" t="s">
        <v>49</v>
      </c>
      <c r="I307" s="24" t="s">
        <v>891</v>
      </c>
      <c r="J307" s="39">
        <v>911378</v>
      </c>
      <c r="K307" s="169">
        <f t="shared" ref="K307:K309" si="180">ROUND(IF(G307=36,J307*9%,0),0)</f>
        <v>82024</v>
      </c>
      <c r="L307" s="40">
        <f t="shared" ref="L307:L309" si="181">ROUND(IF(G307=36,J307*9%,0),0)</f>
        <v>82024</v>
      </c>
      <c r="M307" s="8">
        <f t="shared" si="166"/>
        <v>0</v>
      </c>
      <c r="N307" s="406">
        <f t="shared" ref="N307:N308" si="182">J307+K307+L307+M307</f>
        <v>1075426</v>
      </c>
      <c r="O307" s="378">
        <f>J307*0.25%</f>
        <v>2278.4450000000002</v>
      </c>
      <c r="P307" s="9">
        <f t="shared" ref="P307:P308" si="183">O307/J307</f>
        <v>2.5000000000000001E-3</v>
      </c>
      <c r="Q307" s="393">
        <f>N307-O307</f>
        <v>1073147.5549999999</v>
      </c>
      <c r="R307" s="8"/>
      <c r="S307" s="8"/>
      <c r="T307" s="20"/>
      <c r="U307" s="66">
        <f t="shared" si="177"/>
        <v>0</v>
      </c>
      <c r="V307" s="8"/>
      <c r="W307" s="7" t="str">
        <f t="shared" si="178"/>
        <v>No Due</v>
      </c>
      <c r="X307" s="8"/>
      <c r="Y307" s="8"/>
      <c r="Z307" s="266">
        <v>877828</v>
      </c>
      <c r="AA307" s="41"/>
      <c r="AB307" s="41"/>
      <c r="AC307" s="41"/>
      <c r="AD307" s="41"/>
      <c r="AE307" s="236">
        <f t="shared" si="175"/>
        <v>877828</v>
      </c>
      <c r="AF307" s="239">
        <f>J307-AE307</f>
        <v>33550</v>
      </c>
      <c r="AG307" s="8"/>
      <c r="AH307" s="8"/>
      <c r="AI307" s="237"/>
    </row>
    <row r="308" spans="1:35" ht="30" hidden="1" customHeight="1" x14ac:dyDescent="0.3">
      <c r="A308" s="3">
        <f t="shared" si="173"/>
        <v>307</v>
      </c>
      <c r="B308" s="381" t="s">
        <v>856</v>
      </c>
      <c r="C308" s="46">
        <v>46078</v>
      </c>
      <c r="D308" s="380" t="s">
        <v>70</v>
      </c>
      <c r="E308" s="376" t="s">
        <v>892</v>
      </c>
      <c r="F308" s="331" t="s">
        <v>126</v>
      </c>
      <c r="G308" s="19">
        <v>24</v>
      </c>
      <c r="H308" s="8" t="s">
        <v>125</v>
      </c>
      <c r="I308" s="24" t="s">
        <v>897</v>
      </c>
      <c r="J308" s="39">
        <v>17152742</v>
      </c>
      <c r="K308" s="8">
        <f t="shared" si="180"/>
        <v>0</v>
      </c>
      <c r="L308" s="8">
        <f t="shared" si="181"/>
        <v>0</v>
      </c>
      <c r="M308" s="386">
        <f t="shared" si="166"/>
        <v>3087494</v>
      </c>
      <c r="N308" s="406">
        <f t="shared" si="182"/>
        <v>20240236</v>
      </c>
      <c r="O308" s="49">
        <f>N308-Q308</f>
        <v>42882.440000001341</v>
      </c>
      <c r="P308" s="349">
        <f t="shared" si="183"/>
        <v>2.500034105334374E-3</v>
      </c>
      <c r="Q308" s="386">
        <v>20197353.559999999</v>
      </c>
      <c r="R308" s="67">
        <v>46083</v>
      </c>
      <c r="S308" s="6" t="s">
        <v>74</v>
      </c>
      <c r="T308" s="20" t="s">
        <v>569</v>
      </c>
      <c r="U308" s="66">
        <f t="shared" si="177"/>
        <v>0</v>
      </c>
      <c r="V308" s="8"/>
      <c r="W308" s="367" t="str">
        <f t="shared" si="178"/>
        <v>No Due</v>
      </c>
      <c r="X308" s="8"/>
      <c r="Y308" s="8"/>
      <c r="Z308" s="266">
        <v>14491707</v>
      </c>
      <c r="AA308" s="41">
        <v>1911735</v>
      </c>
      <c r="AB308" s="41"/>
      <c r="AC308" s="41">
        <v>105600</v>
      </c>
      <c r="AD308" s="41">
        <v>10000</v>
      </c>
      <c r="AE308" s="236">
        <f t="shared" si="175"/>
        <v>16519042</v>
      </c>
      <c r="AF308" s="239">
        <f t="shared" ref="AF308" si="184">J308-AE308</f>
        <v>633700</v>
      </c>
      <c r="AG308" s="237">
        <f>AF308-AH308</f>
        <v>499700</v>
      </c>
      <c r="AH308" s="237">
        <v>134000</v>
      </c>
      <c r="AI308" s="8"/>
    </row>
    <row r="309" spans="1:35" ht="30" customHeight="1" x14ac:dyDescent="0.3">
      <c r="A309" s="3">
        <f t="shared" si="173"/>
        <v>308</v>
      </c>
      <c r="B309" s="381" t="s">
        <v>856</v>
      </c>
      <c r="C309" s="46">
        <v>46080</v>
      </c>
      <c r="D309" s="146" t="s">
        <v>288</v>
      </c>
      <c r="E309" s="376" t="s">
        <v>893</v>
      </c>
      <c r="F309" s="146" t="s">
        <v>289</v>
      </c>
      <c r="G309" s="147">
        <v>36</v>
      </c>
      <c r="H309" s="8" t="s">
        <v>287</v>
      </c>
      <c r="I309" s="24" t="s">
        <v>898</v>
      </c>
      <c r="J309" s="39">
        <v>450223</v>
      </c>
      <c r="K309" s="169">
        <f t="shared" si="180"/>
        <v>40520</v>
      </c>
      <c r="L309" s="40">
        <f t="shared" si="181"/>
        <v>40520</v>
      </c>
      <c r="M309" s="8"/>
      <c r="N309" s="406">
        <f t="shared" ref="N309:N315" si="185">J309+K309+L309+M309</f>
        <v>531263</v>
      </c>
      <c r="O309" s="378">
        <f>J309*0.25%</f>
        <v>1125.5575000000001</v>
      </c>
      <c r="P309" s="349">
        <f>O309/J309</f>
        <v>2.5000000000000001E-3</v>
      </c>
      <c r="Q309" s="390">
        <f>N309-O309</f>
        <v>530137.4425</v>
      </c>
      <c r="R309" s="67">
        <v>46088</v>
      </c>
      <c r="S309" s="6" t="s">
        <v>74</v>
      </c>
      <c r="T309" s="20" t="s">
        <v>322</v>
      </c>
      <c r="U309" s="66">
        <f t="shared" si="177"/>
        <v>0</v>
      </c>
      <c r="V309" s="8"/>
      <c r="W309" s="367" t="str">
        <f t="shared" si="178"/>
        <v>No Due</v>
      </c>
      <c r="X309" s="8"/>
      <c r="Y309" s="8"/>
      <c r="Z309" s="266">
        <v>559042</v>
      </c>
      <c r="AA309" s="41"/>
      <c r="AB309" s="41"/>
      <c r="AC309" s="41"/>
      <c r="AD309" s="41"/>
      <c r="AE309" s="236">
        <f t="shared" ref="AE309:AE314" si="186">SUM(Z309:AD309)</f>
        <v>559042</v>
      </c>
      <c r="AF309" s="239"/>
      <c r="AG309" s="8"/>
      <c r="AH309" s="8"/>
      <c r="AI309" s="8"/>
    </row>
    <row r="310" spans="1:35" ht="30" customHeight="1" x14ac:dyDescent="0.3">
      <c r="A310" s="3">
        <f t="shared" si="173"/>
        <v>309</v>
      </c>
      <c r="B310" s="381" t="s">
        <v>856</v>
      </c>
      <c r="C310" s="46">
        <v>46080</v>
      </c>
      <c r="D310" s="146" t="s">
        <v>288</v>
      </c>
      <c r="E310" s="376" t="s">
        <v>894</v>
      </c>
      <c r="F310" s="146" t="s">
        <v>289</v>
      </c>
      <c r="G310" s="147">
        <v>36</v>
      </c>
      <c r="H310" s="8" t="s">
        <v>287</v>
      </c>
      <c r="I310" s="24" t="s">
        <v>899</v>
      </c>
      <c r="J310" s="39">
        <v>143867.59</v>
      </c>
      <c r="K310" s="169">
        <f t="shared" ref="K310:K315" si="187">ROUND(IF(G310=36,J310*9%,0),0)</f>
        <v>12948</v>
      </c>
      <c r="L310" s="40">
        <f t="shared" ref="L310:L315" si="188">ROUND(IF(G310=36,J310*9%,0),0)</f>
        <v>12948</v>
      </c>
      <c r="M310" s="8"/>
      <c r="N310" s="406">
        <f t="shared" si="185"/>
        <v>169763.59</v>
      </c>
      <c r="O310" s="378">
        <f>J310*0.25%</f>
        <v>359.66897499999999</v>
      </c>
      <c r="P310" s="349">
        <f>O310/J310</f>
        <v>2.5000000000000001E-3</v>
      </c>
      <c r="Q310" s="390">
        <f>N310-O310</f>
        <v>169403.92102499999</v>
      </c>
      <c r="R310" s="67">
        <v>46088</v>
      </c>
      <c r="S310" s="6" t="s">
        <v>74</v>
      </c>
      <c r="T310" s="20" t="s">
        <v>322</v>
      </c>
      <c r="U310" s="66">
        <f t="shared" si="177"/>
        <v>0</v>
      </c>
      <c r="V310" s="8"/>
      <c r="W310" s="367" t="str">
        <f t="shared" si="178"/>
        <v>No Due</v>
      </c>
      <c r="X310" s="8"/>
      <c r="Y310" s="8"/>
      <c r="Z310" s="266"/>
      <c r="AA310" s="41">
        <v>106238</v>
      </c>
      <c r="AB310" s="41"/>
      <c r="AC310" s="41"/>
      <c r="AD310" s="41"/>
      <c r="AE310" s="236">
        <f t="shared" si="186"/>
        <v>106238</v>
      </c>
      <c r="AF310" s="239"/>
      <c r="AG310" s="8"/>
      <c r="AH310" s="8"/>
      <c r="AI310" s="8"/>
    </row>
    <row r="311" spans="1:35" ht="30" customHeight="1" x14ac:dyDescent="0.3">
      <c r="A311" s="3">
        <f t="shared" si="173"/>
        <v>310</v>
      </c>
      <c r="B311" s="381" t="s">
        <v>856</v>
      </c>
      <c r="C311" s="46">
        <v>46080</v>
      </c>
      <c r="D311" s="146" t="s">
        <v>288</v>
      </c>
      <c r="E311" s="376" t="s">
        <v>895</v>
      </c>
      <c r="F311" s="146" t="s">
        <v>289</v>
      </c>
      <c r="G311" s="147">
        <v>36</v>
      </c>
      <c r="H311" s="8" t="s">
        <v>287</v>
      </c>
      <c r="I311" s="24" t="s">
        <v>898</v>
      </c>
      <c r="J311" s="39">
        <v>153179.84</v>
      </c>
      <c r="K311" s="169">
        <f t="shared" si="187"/>
        <v>13786</v>
      </c>
      <c r="L311" s="40">
        <f t="shared" si="188"/>
        <v>13786</v>
      </c>
      <c r="M311" s="8"/>
      <c r="N311" s="406">
        <f t="shared" si="185"/>
        <v>180751.84</v>
      </c>
      <c r="O311" s="378">
        <f>J311*0.25%</f>
        <v>382.94959999999998</v>
      </c>
      <c r="P311" s="349">
        <f>O311/J311</f>
        <v>2.5000000000000001E-3</v>
      </c>
      <c r="Q311" s="390">
        <f>N311-O311</f>
        <v>180368.8904</v>
      </c>
      <c r="R311" s="67">
        <v>46088</v>
      </c>
      <c r="S311" s="6" t="s">
        <v>74</v>
      </c>
      <c r="T311" s="20" t="s">
        <v>322</v>
      </c>
      <c r="U311" s="66">
        <f t="shared" si="177"/>
        <v>0</v>
      </c>
      <c r="V311" s="8"/>
      <c r="W311" s="367" t="str">
        <f t="shared" si="178"/>
        <v>No Due</v>
      </c>
      <c r="X311" s="8"/>
      <c r="Y311" s="8"/>
      <c r="Z311" s="266"/>
      <c r="AA311" s="41"/>
      <c r="AB311" s="41">
        <v>18952</v>
      </c>
      <c r="AC311" s="41"/>
      <c r="AD311" s="41"/>
      <c r="AE311" s="236">
        <f t="shared" si="186"/>
        <v>18952</v>
      </c>
      <c r="AF311" s="239"/>
      <c r="AG311" s="8"/>
      <c r="AH311" s="8"/>
      <c r="AI311" s="8"/>
    </row>
    <row r="312" spans="1:35" ht="30" customHeight="1" x14ac:dyDescent="0.3">
      <c r="A312" s="3">
        <f t="shared" si="173"/>
        <v>311</v>
      </c>
      <c r="B312" s="381" t="s">
        <v>856</v>
      </c>
      <c r="C312" s="46">
        <v>46080</v>
      </c>
      <c r="D312" s="146" t="s">
        <v>288</v>
      </c>
      <c r="E312" s="376" t="s">
        <v>896</v>
      </c>
      <c r="F312" s="146" t="s">
        <v>289</v>
      </c>
      <c r="G312" s="147">
        <v>36</v>
      </c>
      <c r="H312" s="8" t="s">
        <v>287</v>
      </c>
      <c r="I312" s="24" t="s">
        <v>899</v>
      </c>
      <c r="J312" s="39">
        <v>8297.84</v>
      </c>
      <c r="K312" s="169">
        <f t="shared" si="187"/>
        <v>747</v>
      </c>
      <c r="L312" s="40">
        <f t="shared" si="188"/>
        <v>747</v>
      </c>
      <c r="M312" s="8"/>
      <c r="N312" s="406">
        <f t="shared" si="185"/>
        <v>9791.84</v>
      </c>
      <c r="O312" s="378">
        <f>J312*0.25%</f>
        <v>20.744600000000002</v>
      </c>
      <c r="P312" s="349">
        <f>O312/J312</f>
        <v>2.5000000000000001E-3</v>
      </c>
      <c r="Q312" s="390">
        <f>N312-O312</f>
        <v>9771.0954000000002</v>
      </c>
      <c r="R312" s="67">
        <v>46088</v>
      </c>
      <c r="S312" s="6" t="s">
        <v>74</v>
      </c>
      <c r="T312" s="20" t="s">
        <v>322</v>
      </c>
      <c r="U312" s="66">
        <f t="shared" si="177"/>
        <v>0</v>
      </c>
      <c r="V312" s="8"/>
      <c r="W312" s="367" t="str">
        <f t="shared" si="178"/>
        <v>No Due</v>
      </c>
      <c r="X312" s="8"/>
      <c r="Y312" s="8"/>
      <c r="Z312" s="266"/>
      <c r="AA312" s="41"/>
      <c r="AB312" s="41">
        <v>2400</v>
      </c>
      <c r="AC312" s="41"/>
      <c r="AD312" s="41"/>
      <c r="AE312" s="236">
        <f t="shared" si="186"/>
        <v>2400</v>
      </c>
      <c r="AF312" s="239"/>
      <c r="AG312" s="8"/>
      <c r="AH312" s="8"/>
      <c r="AI312" s="8"/>
    </row>
    <row r="313" spans="1:35" ht="30" hidden="1" customHeight="1" x14ac:dyDescent="0.3">
      <c r="A313" s="3">
        <f t="shared" si="173"/>
        <v>312</v>
      </c>
      <c r="B313" s="381" t="s">
        <v>856</v>
      </c>
      <c r="C313" s="392">
        <v>46081</v>
      </c>
      <c r="D313" s="380" t="s">
        <v>70</v>
      </c>
      <c r="E313" s="376" t="s">
        <v>900</v>
      </c>
      <c r="F313" s="20" t="s">
        <v>902</v>
      </c>
      <c r="G313" s="147">
        <v>37</v>
      </c>
      <c r="H313" s="396" t="s">
        <v>901</v>
      </c>
      <c r="I313" s="24" t="s">
        <v>903</v>
      </c>
      <c r="J313" s="39">
        <v>401534</v>
      </c>
      <c r="K313" s="8">
        <f t="shared" si="187"/>
        <v>0</v>
      </c>
      <c r="L313" s="8">
        <f t="shared" si="188"/>
        <v>0</v>
      </c>
      <c r="M313" s="8"/>
      <c r="N313" s="406">
        <f t="shared" si="185"/>
        <v>401534</v>
      </c>
      <c r="O313" s="8"/>
      <c r="P313" s="8"/>
      <c r="Q313" s="8">
        <v>401534</v>
      </c>
      <c r="R313" s="67">
        <v>46084</v>
      </c>
      <c r="S313" s="8" t="s">
        <v>948</v>
      </c>
      <c r="T313" s="20" t="s">
        <v>949</v>
      </c>
      <c r="U313" s="66">
        <f t="shared" si="177"/>
        <v>0</v>
      </c>
      <c r="V313" s="8"/>
      <c r="W313" s="367" t="str">
        <f t="shared" si="178"/>
        <v>No Due</v>
      </c>
      <c r="X313" s="8"/>
      <c r="Y313" s="8"/>
      <c r="Z313" s="266">
        <v>332381</v>
      </c>
      <c r="AA313" s="41">
        <v>49109</v>
      </c>
      <c r="AB313" s="41">
        <v>3336</v>
      </c>
      <c r="AC313" s="41">
        <v>2350</v>
      </c>
      <c r="AD313" s="41"/>
      <c r="AE313" s="236">
        <f t="shared" si="186"/>
        <v>387176</v>
      </c>
      <c r="AF313" s="239">
        <f>J313-AE313</f>
        <v>14358</v>
      </c>
      <c r="AG313" s="8"/>
      <c r="AH313" s="8"/>
      <c r="AI313" s="8"/>
    </row>
    <row r="314" spans="1:35" ht="30" hidden="1" customHeight="1" x14ac:dyDescent="0.3">
      <c r="A314" s="3">
        <f t="shared" si="173"/>
        <v>313</v>
      </c>
      <c r="B314" s="381" t="s">
        <v>908</v>
      </c>
      <c r="C314" s="46">
        <v>46084</v>
      </c>
      <c r="D314" s="380" t="s">
        <v>70</v>
      </c>
      <c r="E314" s="376" t="s">
        <v>904</v>
      </c>
      <c r="F314" s="20" t="s">
        <v>919</v>
      </c>
      <c r="G314" s="147">
        <v>37</v>
      </c>
      <c r="H314" s="8" t="s">
        <v>920</v>
      </c>
      <c r="I314" s="24" t="s">
        <v>921</v>
      </c>
      <c r="J314" s="39">
        <v>825818.66</v>
      </c>
      <c r="K314" s="8">
        <f t="shared" si="187"/>
        <v>0</v>
      </c>
      <c r="L314" s="8">
        <f t="shared" si="188"/>
        <v>0</v>
      </c>
      <c r="M314" s="386">
        <f t="shared" ref="M314:M315" si="189">ROUND(IF(G314=36,J314*0%,J314*18%),0)</f>
        <v>148647</v>
      </c>
      <c r="N314" s="406">
        <f t="shared" si="185"/>
        <v>974465.66</v>
      </c>
      <c r="O314" s="49">
        <f>N314-Q314</f>
        <v>16516.010000000009</v>
      </c>
      <c r="P314" s="385">
        <f>O314/J314</f>
        <v>1.9999560194001925E-2</v>
      </c>
      <c r="Q314" s="8">
        <v>957949.65</v>
      </c>
      <c r="R314" s="377">
        <v>46099</v>
      </c>
      <c r="S314" s="8" t="s">
        <v>74</v>
      </c>
      <c r="T314" s="20" t="s">
        <v>943</v>
      </c>
      <c r="U314" s="66">
        <f>N314-O314-Q314</f>
        <v>0</v>
      </c>
      <c r="V314" s="8"/>
      <c r="W314" s="367" t="str">
        <f t="shared" si="178"/>
        <v>No Due</v>
      </c>
      <c r="X314" s="8"/>
      <c r="Y314" s="8"/>
      <c r="Z314" s="266">
        <v>591746</v>
      </c>
      <c r="AA314" s="41">
        <v>157541</v>
      </c>
      <c r="AB314" s="41">
        <v>27514</v>
      </c>
      <c r="AC314" s="41">
        <v>0</v>
      </c>
      <c r="AD314" s="41">
        <v>12500</v>
      </c>
      <c r="AE314" s="236">
        <f t="shared" si="186"/>
        <v>789301</v>
      </c>
      <c r="AF314" s="239">
        <f>J314-AE314</f>
        <v>36517.660000000033</v>
      </c>
      <c r="AG314" s="8"/>
      <c r="AH314" s="8"/>
      <c r="AI314" s="8"/>
    </row>
    <row r="315" spans="1:35" ht="30" hidden="1" customHeight="1" x14ac:dyDescent="0.3">
      <c r="A315" s="3">
        <f t="shared" si="173"/>
        <v>314</v>
      </c>
      <c r="B315" s="381" t="s">
        <v>908</v>
      </c>
      <c r="C315" s="46">
        <v>46084</v>
      </c>
      <c r="D315" s="380" t="s">
        <v>70</v>
      </c>
      <c r="E315" s="376" t="s">
        <v>905</v>
      </c>
      <c r="F315" s="376" t="s">
        <v>626</v>
      </c>
      <c r="G315" s="261">
        <v>24</v>
      </c>
      <c r="H315" s="8" t="s">
        <v>627</v>
      </c>
      <c r="I315" s="24" t="s">
        <v>922</v>
      </c>
      <c r="J315" s="39">
        <v>5582042</v>
      </c>
      <c r="K315" s="8">
        <f t="shared" si="187"/>
        <v>0</v>
      </c>
      <c r="L315" s="8">
        <f t="shared" si="188"/>
        <v>0</v>
      </c>
      <c r="M315" s="40">
        <f t="shared" si="189"/>
        <v>1004768</v>
      </c>
      <c r="N315" s="406">
        <f t="shared" si="185"/>
        <v>6586810</v>
      </c>
      <c r="O315" s="49">
        <f>N315-Q315</f>
        <v>111641</v>
      </c>
      <c r="P315" s="385">
        <f>O315/J315</f>
        <v>2.0000028663345781E-2</v>
      </c>
      <c r="Q315" s="386">
        <f>3000000+3475169</f>
        <v>6475169</v>
      </c>
      <c r="R315" s="391" t="s">
        <v>991</v>
      </c>
      <c r="S315" s="6" t="s">
        <v>74</v>
      </c>
      <c r="T315" s="20" t="s">
        <v>147</v>
      </c>
      <c r="U315" s="66">
        <f>N315-O315-Q315</f>
        <v>0</v>
      </c>
      <c r="V315" s="8"/>
      <c r="W315" s="367" t="str">
        <f>IF(U315=0,"No Due","Outstanding")</f>
        <v>No Due</v>
      </c>
      <c r="X315" s="8"/>
      <c r="Y315" s="8"/>
      <c r="Z315" s="266">
        <v>4367102</v>
      </c>
      <c r="AA315" s="41">
        <v>730712</v>
      </c>
      <c r="AB315" s="41"/>
      <c r="AC315" s="41">
        <v>43400</v>
      </c>
      <c r="AD315" s="41">
        <v>174995</v>
      </c>
      <c r="AE315" s="236">
        <f t="shared" ref="AE315" si="190">SUM(Z315:AD315)</f>
        <v>5316209</v>
      </c>
      <c r="AF315" s="239">
        <f>J315-AE315</f>
        <v>265833</v>
      </c>
      <c r="AG315" s="8"/>
      <c r="AH315" s="8"/>
      <c r="AI315" s="237" t="s">
        <v>1003</v>
      </c>
    </row>
    <row r="316" spans="1:35" ht="30" hidden="1" customHeight="1" x14ac:dyDescent="0.3">
      <c r="A316" s="3">
        <f t="shared" si="173"/>
        <v>315</v>
      </c>
      <c r="B316" s="381" t="s">
        <v>908</v>
      </c>
      <c r="C316" s="46">
        <v>46084</v>
      </c>
      <c r="D316" s="46" t="s">
        <v>33</v>
      </c>
      <c r="E316" s="376" t="s">
        <v>906</v>
      </c>
      <c r="F316" s="260" t="s">
        <v>34</v>
      </c>
      <c r="G316" s="261">
        <v>36</v>
      </c>
      <c r="H316" s="8" t="s">
        <v>55</v>
      </c>
      <c r="I316" s="24" t="s">
        <v>910</v>
      </c>
      <c r="J316" s="39">
        <f>(72050*12)+(53350*1)+(99751*15)</f>
        <v>2414215</v>
      </c>
      <c r="K316" s="148">
        <f t="shared" ref="K316:K329" si="191">ROUND(IF(G316=36,J316*9%,0),0)</f>
        <v>217279</v>
      </c>
      <c r="L316" s="40">
        <f t="shared" ref="L316:L329" si="192">ROUND(IF(G316=36,J316*9%,0),0)</f>
        <v>217279</v>
      </c>
      <c r="M316" s="40">
        <f t="shared" ref="M316:M331" si="193">ROUND(IF(G316=36,J316*0%,J316*18%),0)</f>
        <v>0</v>
      </c>
      <c r="N316" s="406">
        <f t="shared" ref="N316:N330" si="194">J316+K316+L316+M316</f>
        <v>2848773</v>
      </c>
      <c r="O316" s="378">
        <v>185678</v>
      </c>
      <c r="P316" s="9">
        <f>O316/J316</f>
        <v>7.6910300035415241E-2</v>
      </c>
      <c r="Q316" s="378">
        <f>N316-O316</f>
        <v>2663095</v>
      </c>
      <c r="R316" s="67">
        <v>46114</v>
      </c>
      <c r="S316" s="8" t="s">
        <v>74</v>
      </c>
      <c r="T316" s="20" t="s">
        <v>124</v>
      </c>
      <c r="U316" s="66">
        <f t="shared" ref="U316:U319" si="195">N316-O316-Q316</f>
        <v>0</v>
      </c>
      <c r="V316" s="8"/>
      <c r="W316" s="367" t="str">
        <f t="shared" ref="W316:W318" si="196">IF(U316=0,"No Due","Outstanding")</f>
        <v>No Due</v>
      </c>
      <c r="X316" s="8"/>
      <c r="Y316" s="8"/>
      <c r="Z316" s="266"/>
      <c r="AA316" s="41"/>
      <c r="AB316" s="41"/>
      <c r="AC316" s="41"/>
      <c r="AD316" s="41"/>
      <c r="AE316" s="236"/>
      <c r="AF316" s="239"/>
      <c r="AG316" s="8"/>
      <c r="AH316" s="8"/>
      <c r="AI316" s="8"/>
    </row>
    <row r="317" spans="1:35" ht="30" hidden="1" customHeight="1" x14ac:dyDescent="0.3">
      <c r="A317" s="3">
        <f t="shared" si="173"/>
        <v>316</v>
      </c>
      <c r="B317" s="381" t="s">
        <v>908</v>
      </c>
      <c r="C317" s="46">
        <v>46084</v>
      </c>
      <c r="D317" s="46" t="s">
        <v>33</v>
      </c>
      <c r="E317" s="376" t="s">
        <v>907</v>
      </c>
      <c r="F317" s="260" t="s">
        <v>34</v>
      </c>
      <c r="G317" s="261">
        <v>36</v>
      </c>
      <c r="H317" s="8" t="s">
        <v>55</v>
      </c>
      <c r="I317" s="24" t="s">
        <v>912</v>
      </c>
      <c r="J317" s="39">
        <v>89000</v>
      </c>
      <c r="K317" s="43">
        <f t="shared" si="191"/>
        <v>8010</v>
      </c>
      <c r="L317" s="40">
        <f t="shared" si="192"/>
        <v>8010</v>
      </c>
      <c r="M317" s="40">
        <f t="shared" si="193"/>
        <v>0</v>
      </c>
      <c r="N317" s="406">
        <f t="shared" si="194"/>
        <v>105020</v>
      </c>
      <c r="O317" s="378">
        <f t="shared" ref="O317:O318" si="197">J317*0.25%</f>
        <v>222.5</v>
      </c>
      <c r="P317" s="9">
        <f>O317/J317</f>
        <v>2.5000000000000001E-3</v>
      </c>
      <c r="Q317" s="378">
        <f>N317-O317</f>
        <v>104797.5</v>
      </c>
      <c r="R317" s="67">
        <v>46114</v>
      </c>
      <c r="S317" s="8" t="s">
        <v>74</v>
      </c>
      <c r="T317" s="20" t="s">
        <v>124</v>
      </c>
      <c r="U317" s="66">
        <f t="shared" si="195"/>
        <v>0</v>
      </c>
      <c r="V317" s="8"/>
      <c r="W317" s="367" t="str">
        <f t="shared" si="196"/>
        <v>No Due</v>
      </c>
      <c r="X317" s="8"/>
      <c r="Y317" s="8"/>
      <c r="Z317" s="266"/>
      <c r="AA317" s="41"/>
      <c r="AB317" s="41"/>
      <c r="AC317" s="41"/>
      <c r="AD317" s="41"/>
      <c r="AE317" s="236"/>
      <c r="AF317" s="239"/>
      <c r="AG317" s="8"/>
      <c r="AH317" s="8"/>
      <c r="AI317" s="8"/>
    </row>
    <row r="318" spans="1:35" ht="30" hidden="1" customHeight="1" x14ac:dyDescent="0.3">
      <c r="A318" s="3">
        <f t="shared" si="173"/>
        <v>317</v>
      </c>
      <c r="B318" s="381" t="s">
        <v>908</v>
      </c>
      <c r="C318" s="46">
        <v>46084</v>
      </c>
      <c r="D318" s="46" t="s">
        <v>33</v>
      </c>
      <c r="E318" s="376" t="s">
        <v>909</v>
      </c>
      <c r="F318" s="260" t="s">
        <v>34</v>
      </c>
      <c r="G318" s="261">
        <v>36</v>
      </c>
      <c r="H318" s="8" t="s">
        <v>55</v>
      </c>
      <c r="I318" s="24" t="s">
        <v>911</v>
      </c>
      <c r="J318" s="39">
        <v>19272</v>
      </c>
      <c r="K318" s="8">
        <f t="shared" si="191"/>
        <v>1734</v>
      </c>
      <c r="L318" s="8">
        <f t="shared" si="192"/>
        <v>1734</v>
      </c>
      <c r="M318" s="8">
        <f t="shared" si="193"/>
        <v>0</v>
      </c>
      <c r="N318" s="406">
        <f t="shared" si="194"/>
        <v>22740</v>
      </c>
      <c r="O318" s="378">
        <f t="shared" si="197"/>
        <v>48.18</v>
      </c>
      <c r="P318" s="9">
        <f>O318/J318</f>
        <v>2.5000000000000001E-3</v>
      </c>
      <c r="Q318" s="378">
        <f>N318-O318</f>
        <v>22691.82</v>
      </c>
      <c r="R318" s="67">
        <v>46114</v>
      </c>
      <c r="S318" s="8" t="s">
        <v>74</v>
      </c>
      <c r="T318" s="20" t="s">
        <v>124</v>
      </c>
      <c r="U318" s="66">
        <f t="shared" si="195"/>
        <v>0</v>
      </c>
      <c r="V318" s="8"/>
      <c r="W318" s="367" t="str">
        <f t="shared" si="196"/>
        <v>No Due</v>
      </c>
      <c r="X318" s="8"/>
      <c r="Y318" s="8"/>
      <c r="Z318" s="266"/>
      <c r="AA318" s="41"/>
      <c r="AB318" s="41"/>
      <c r="AC318" s="41"/>
      <c r="AD318" s="41"/>
      <c r="AE318" s="236"/>
      <c r="AF318" s="239">
        <f t="shared" ref="AF318" si="198">J318-AE318</f>
        <v>19272</v>
      </c>
      <c r="AG318" s="237">
        <f t="shared" ref="AG318" si="199">AF318</f>
        <v>19272</v>
      </c>
      <c r="AH318" s="8"/>
      <c r="AI318" s="8"/>
    </row>
    <row r="319" spans="1:35" ht="30" hidden="1" customHeight="1" x14ac:dyDescent="0.3">
      <c r="A319" s="3">
        <f t="shared" si="173"/>
        <v>318</v>
      </c>
      <c r="B319" s="381" t="s">
        <v>908</v>
      </c>
      <c r="C319" s="46">
        <v>46084</v>
      </c>
      <c r="D319" s="60" t="s">
        <v>33</v>
      </c>
      <c r="E319" s="376" t="s">
        <v>914</v>
      </c>
      <c r="F319" s="260" t="s">
        <v>37</v>
      </c>
      <c r="G319" s="261">
        <v>36</v>
      </c>
      <c r="H319" s="8" t="s">
        <v>38</v>
      </c>
      <c r="I319" s="24" t="s">
        <v>913</v>
      </c>
      <c r="J319" s="39">
        <v>728333</v>
      </c>
      <c r="K319" s="8">
        <f t="shared" si="191"/>
        <v>65550</v>
      </c>
      <c r="L319" s="8">
        <f t="shared" si="192"/>
        <v>65550</v>
      </c>
      <c r="M319" s="8">
        <f t="shared" si="193"/>
        <v>0</v>
      </c>
      <c r="N319" s="406">
        <f t="shared" si="194"/>
        <v>859433</v>
      </c>
      <c r="O319" s="386">
        <f>J319*10%</f>
        <v>72833.3</v>
      </c>
      <c r="P319" s="9">
        <f t="shared" ref="P319" si="200">O319/J319</f>
        <v>0.1</v>
      </c>
      <c r="Q319" s="378">
        <f>N319-O319</f>
        <v>786599.7</v>
      </c>
      <c r="R319" s="67">
        <v>46205</v>
      </c>
      <c r="S319" s="8" t="s">
        <v>74</v>
      </c>
      <c r="T319" s="20" t="s">
        <v>124</v>
      </c>
      <c r="U319" s="66">
        <f t="shared" si="195"/>
        <v>0</v>
      </c>
      <c r="V319" s="8"/>
      <c r="W319" s="367" t="str">
        <f t="shared" ref="W319" si="201">IF(U320=0,"No Due","Outstanding")</f>
        <v>Outstanding</v>
      </c>
      <c r="X319" s="8"/>
      <c r="Y319" s="8"/>
      <c r="Z319" s="266">
        <v>519849</v>
      </c>
      <c r="AA319" s="41">
        <v>15000</v>
      </c>
      <c r="AB319" s="41"/>
      <c r="AC319" s="41">
        <v>800</v>
      </c>
      <c r="AD319" s="41">
        <v>73390</v>
      </c>
      <c r="AE319" s="236">
        <f t="shared" ref="AE319" si="202">SUM(Z319:AD319)</f>
        <v>609039</v>
      </c>
      <c r="AF319" s="239">
        <f>J319-AE319</f>
        <v>119294</v>
      </c>
      <c r="AG319" s="8"/>
      <c r="AH319" s="8"/>
      <c r="AI319" s="8"/>
    </row>
    <row r="320" spans="1:35" ht="30" hidden="1" customHeight="1" x14ac:dyDescent="0.3">
      <c r="A320" s="3">
        <f t="shared" si="173"/>
        <v>319</v>
      </c>
      <c r="B320" s="381" t="s">
        <v>908</v>
      </c>
      <c r="C320" s="46">
        <v>46084</v>
      </c>
      <c r="D320" s="380" t="s">
        <v>70</v>
      </c>
      <c r="E320" s="376" t="s">
        <v>915</v>
      </c>
      <c r="F320" s="376" t="s">
        <v>916</v>
      </c>
      <c r="G320" s="261">
        <v>24</v>
      </c>
      <c r="H320" s="8" t="s">
        <v>917</v>
      </c>
      <c r="I320" s="8" t="s">
        <v>918</v>
      </c>
      <c r="J320" s="39">
        <v>19776</v>
      </c>
      <c r="K320" s="8">
        <f t="shared" si="191"/>
        <v>0</v>
      </c>
      <c r="L320" s="8">
        <f t="shared" si="192"/>
        <v>0</v>
      </c>
      <c r="M320" s="8">
        <f t="shared" si="193"/>
        <v>3560</v>
      </c>
      <c r="N320" s="406">
        <f t="shared" si="194"/>
        <v>23336</v>
      </c>
      <c r="O320" s="49">
        <v>396</v>
      </c>
      <c r="P320" s="385">
        <f>O320/J320</f>
        <v>2.0024271844660196E-2</v>
      </c>
      <c r="Q320" s="8">
        <f>6026+17101</f>
        <v>23127</v>
      </c>
      <c r="R320" s="377">
        <v>46129</v>
      </c>
      <c r="S320" s="8" t="s">
        <v>74</v>
      </c>
      <c r="T320" s="20" t="s">
        <v>992</v>
      </c>
      <c r="U320" s="66">
        <f>N320-Q320-O320</f>
        <v>-187</v>
      </c>
      <c r="V320" s="8"/>
      <c r="W320" s="400" t="s">
        <v>811</v>
      </c>
      <c r="X320" s="8"/>
      <c r="Y320" s="8"/>
      <c r="Z320" s="266">
        <v>6026.375</v>
      </c>
      <c r="AA320" s="41">
        <v>1102</v>
      </c>
      <c r="AB320" s="41"/>
      <c r="AC320" s="41"/>
      <c r="AD320" s="41"/>
      <c r="AE320" s="236">
        <f>SUM(Z320:AD320)</f>
        <v>7128.375</v>
      </c>
      <c r="AF320" s="239">
        <f>J320-AE320</f>
        <v>12647.625</v>
      </c>
      <c r="AG320" s="386">
        <f>AF320-AH320</f>
        <v>395.625</v>
      </c>
      <c r="AH320" s="386">
        <v>12252</v>
      </c>
      <c r="AI320" s="8"/>
    </row>
    <row r="321" spans="1:35" ht="30" hidden="1" customHeight="1" x14ac:dyDescent="0.3">
      <c r="A321" s="3">
        <f t="shared" si="173"/>
        <v>320</v>
      </c>
      <c r="B321" s="381" t="s">
        <v>908</v>
      </c>
      <c r="C321" s="46">
        <v>46090</v>
      </c>
      <c r="D321" s="164" t="s">
        <v>70</v>
      </c>
      <c r="E321" s="376" t="s">
        <v>923</v>
      </c>
      <c r="F321" s="260" t="s">
        <v>134</v>
      </c>
      <c r="G321" s="261">
        <v>10</v>
      </c>
      <c r="H321" s="8" t="s">
        <v>39</v>
      </c>
      <c r="I321" s="24" t="s">
        <v>925</v>
      </c>
      <c r="J321" s="39">
        <v>39001</v>
      </c>
      <c r="K321" s="148">
        <f t="shared" si="191"/>
        <v>0</v>
      </c>
      <c r="L321" s="40">
        <f t="shared" si="192"/>
        <v>0</v>
      </c>
      <c r="M321" s="40">
        <f t="shared" si="193"/>
        <v>7020</v>
      </c>
      <c r="N321" s="406">
        <f t="shared" si="194"/>
        <v>46021</v>
      </c>
      <c r="O321" s="49">
        <f t="shared" ref="O321" si="203">N321-Q321</f>
        <v>779.98999999999796</v>
      </c>
      <c r="P321" s="9">
        <f t="shared" ref="P321:P322" si="204">O321/J321</f>
        <v>1.9999230788954075E-2</v>
      </c>
      <c r="Q321" s="8">
        <f>38221.01+7020</f>
        <v>45241.01</v>
      </c>
      <c r="R321" s="401" t="s">
        <v>999</v>
      </c>
      <c r="S321" s="8"/>
      <c r="T321" s="20"/>
      <c r="U321" s="66">
        <f t="shared" ref="U321:U322" si="205">N321-O321-Q321</f>
        <v>0</v>
      </c>
      <c r="V321" s="8"/>
      <c r="W321" s="7" t="str">
        <f t="shared" ref="W321:W322" si="206">IF(U321=0,"No Due","Outstanding")</f>
        <v>No Due</v>
      </c>
      <c r="X321" s="8"/>
      <c r="Y321" s="8"/>
      <c r="Z321" s="266">
        <v>34201</v>
      </c>
      <c r="AA321" s="41">
        <v>3750</v>
      </c>
      <c r="AB321" s="41">
        <v>0</v>
      </c>
      <c r="AC321" s="41">
        <v>200</v>
      </c>
      <c r="AD321" s="41"/>
      <c r="AE321" s="236">
        <f t="shared" ref="AE321:AE326" si="207">SUM(Z321:AD321)</f>
        <v>38151</v>
      </c>
      <c r="AF321" s="239">
        <f t="shared" ref="AF321:AF330" si="208">J321-AE321</f>
        <v>850</v>
      </c>
      <c r="AG321" s="8"/>
      <c r="AH321" s="8"/>
      <c r="AI321" s="8"/>
    </row>
    <row r="322" spans="1:35" ht="30" hidden="1" customHeight="1" x14ac:dyDescent="0.3">
      <c r="A322" s="3">
        <f t="shared" si="173"/>
        <v>321</v>
      </c>
      <c r="B322" s="381" t="s">
        <v>908</v>
      </c>
      <c r="C322" s="46">
        <v>46090</v>
      </c>
      <c r="D322" s="164" t="s">
        <v>70</v>
      </c>
      <c r="E322" s="376" t="s">
        <v>924</v>
      </c>
      <c r="F322" s="260" t="s">
        <v>134</v>
      </c>
      <c r="G322" s="261">
        <v>10</v>
      </c>
      <c r="H322" s="8" t="s">
        <v>39</v>
      </c>
      <c r="I322" s="24" t="s">
        <v>925</v>
      </c>
      <c r="J322" s="39">
        <v>60709</v>
      </c>
      <c r="K322" s="148">
        <f t="shared" si="191"/>
        <v>0</v>
      </c>
      <c r="L322" s="40">
        <f t="shared" si="192"/>
        <v>0</v>
      </c>
      <c r="M322" s="40">
        <f t="shared" si="193"/>
        <v>10928</v>
      </c>
      <c r="N322" s="406">
        <f t="shared" si="194"/>
        <v>71637</v>
      </c>
      <c r="O322" s="49">
        <f>N322-Q322</f>
        <v>6072</v>
      </c>
      <c r="P322" s="9">
        <f t="shared" si="204"/>
        <v>0.10001811922449719</v>
      </c>
      <c r="Q322" s="403">
        <f>54638+10927</f>
        <v>65565</v>
      </c>
      <c r="R322" s="8"/>
      <c r="S322" s="8"/>
      <c r="T322" s="20"/>
      <c r="U322" s="66">
        <f t="shared" si="205"/>
        <v>0</v>
      </c>
      <c r="V322" s="8"/>
      <c r="W322" s="7" t="str">
        <f t="shared" si="206"/>
        <v>No Due</v>
      </c>
      <c r="X322" s="8"/>
      <c r="Y322" s="8"/>
      <c r="Z322" s="266">
        <v>55909</v>
      </c>
      <c r="AA322" s="41">
        <v>3750</v>
      </c>
      <c r="AB322" s="41">
        <v>0</v>
      </c>
      <c r="AC322" s="41">
        <v>200</v>
      </c>
      <c r="AD322" s="41"/>
      <c r="AE322" s="236">
        <f t="shared" si="207"/>
        <v>59859</v>
      </c>
      <c r="AF322" s="239">
        <f t="shared" si="208"/>
        <v>850</v>
      </c>
      <c r="AG322" s="8"/>
      <c r="AH322" s="8"/>
      <c r="AI322" s="8"/>
    </row>
    <row r="323" spans="1:35" ht="30" hidden="1" customHeight="1" x14ac:dyDescent="0.3">
      <c r="A323" s="3">
        <f t="shared" si="173"/>
        <v>322</v>
      </c>
      <c r="B323" s="381" t="s">
        <v>908</v>
      </c>
      <c r="C323" s="46">
        <v>46092</v>
      </c>
      <c r="D323" s="167" t="s">
        <v>70</v>
      </c>
      <c r="E323" s="376" t="s">
        <v>926</v>
      </c>
      <c r="F323" s="167" t="s">
        <v>138</v>
      </c>
      <c r="G323" s="168">
        <v>36</v>
      </c>
      <c r="H323" s="8" t="s">
        <v>49</v>
      </c>
      <c r="I323" s="24" t="s">
        <v>931</v>
      </c>
      <c r="J323" s="39">
        <v>27963395</v>
      </c>
      <c r="K323" s="169">
        <f t="shared" si="191"/>
        <v>2516706</v>
      </c>
      <c r="L323" s="40">
        <f t="shared" si="192"/>
        <v>2516706</v>
      </c>
      <c r="M323" s="8">
        <f t="shared" si="193"/>
        <v>0</v>
      </c>
      <c r="N323" s="406">
        <f t="shared" si="194"/>
        <v>32996807</v>
      </c>
      <c r="O323" s="378">
        <f>J323*0.25%</f>
        <v>69908.487500000003</v>
      </c>
      <c r="P323" s="9">
        <f t="shared" ref="P323:P330" si="209">O323/J323</f>
        <v>2.5000000000000001E-3</v>
      </c>
      <c r="Q323" s="378">
        <f>N323-O323</f>
        <v>32926898.512499999</v>
      </c>
      <c r="R323" s="377">
        <v>46111</v>
      </c>
      <c r="S323" s="8" t="s">
        <v>74</v>
      </c>
      <c r="T323" s="20" t="s">
        <v>96</v>
      </c>
      <c r="U323" s="66">
        <f t="shared" ref="U323:U332" si="210">N323-O323-Q323</f>
        <v>0</v>
      </c>
      <c r="V323" s="8"/>
      <c r="W323" s="7" t="str">
        <f t="shared" ref="W323:W331" si="211">IF(U323=0,"No Due","Outstanding")</f>
        <v>No Due</v>
      </c>
      <c r="X323" s="8"/>
      <c r="Y323" s="8"/>
      <c r="Z323" s="266">
        <v>24955404</v>
      </c>
      <c r="AA323" s="41">
        <v>2233930</v>
      </c>
      <c r="AB323" s="41">
        <v>756</v>
      </c>
      <c r="AC323" s="41">
        <v>118150</v>
      </c>
      <c r="AD323" s="41">
        <f>316737+5668</f>
        <v>322405</v>
      </c>
      <c r="AE323" s="236">
        <f t="shared" si="207"/>
        <v>27630645</v>
      </c>
      <c r="AF323" s="239">
        <f t="shared" si="208"/>
        <v>332750</v>
      </c>
      <c r="AG323" s="8"/>
      <c r="AH323" s="8"/>
      <c r="AI323" s="237"/>
    </row>
    <row r="324" spans="1:35" ht="30" hidden="1" customHeight="1" x14ac:dyDescent="0.3">
      <c r="A324" s="3">
        <f t="shared" si="173"/>
        <v>323</v>
      </c>
      <c r="B324" s="381" t="s">
        <v>908</v>
      </c>
      <c r="C324" s="46">
        <v>46092</v>
      </c>
      <c r="D324" s="167" t="s">
        <v>70</v>
      </c>
      <c r="E324" s="376" t="s">
        <v>927</v>
      </c>
      <c r="F324" s="167" t="s">
        <v>138</v>
      </c>
      <c r="G324" s="168">
        <v>36</v>
      </c>
      <c r="H324" s="8" t="s">
        <v>49</v>
      </c>
      <c r="I324" s="24" t="s">
        <v>933</v>
      </c>
      <c r="J324" s="39">
        <v>803414</v>
      </c>
      <c r="K324" s="169">
        <f t="shared" si="191"/>
        <v>72307</v>
      </c>
      <c r="L324" s="40">
        <f t="shared" si="192"/>
        <v>72307</v>
      </c>
      <c r="M324" s="8">
        <f t="shared" si="193"/>
        <v>0</v>
      </c>
      <c r="N324" s="406">
        <f t="shared" si="194"/>
        <v>948028</v>
      </c>
      <c r="O324" s="378">
        <f>J324*0.25%</f>
        <v>2008.5350000000001</v>
      </c>
      <c r="P324" s="9">
        <f t="shared" si="209"/>
        <v>2.5000000000000001E-3</v>
      </c>
      <c r="Q324" s="378">
        <f>N324-O324</f>
        <v>946019.46499999997</v>
      </c>
      <c r="R324" s="377">
        <v>46111</v>
      </c>
      <c r="S324" s="8" t="s">
        <v>74</v>
      </c>
      <c r="T324" s="20" t="s">
        <v>96</v>
      </c>
      <c r="U324" s="66">
        <f t="shared" si="210"/>
        <v>0</v>
      </c>
      <c r="V324" s="8"/>
      <c r="W324" s="7" t="str">
        <f t="shared" si="211"/>
        <v>No Due</v>
      </c>
      <c r="X324" s="8"/>
      <c r="Y324" s="8"/>
      <c r="Z324" s="266">
        <v>797364</v>
      </c>
      <c r="AA324" s="41"/>
      <c r="AB324" s="41"/>
      <c r="AC324" s="41"/>
      <c r="AD324" s="41"/>
      <c r="AE324" s="236">
        <f t="shared" si="207"/>
        <v>797364</v>
      </c>
      <c r="AF324" s="239">
        <f t="shared" si="208"/>
        <v>6050</v>
      </c>
      <c r="AG324" s="237">
        <f t="shared" ref="AG324" si="212">AF324</f>
        <v>6050</v>
      </c>
      <c r="AH324" s="8"/>
      <c r="AI324" s="237"/>
    </row>
    <row r="325" spans="1:35" ht="30" hidden="1" customHeight="1" x14ac:dyDescent="0.3">
      <c r="A325" s="3">
        <f t="shared" si="173"/>
        <v>324</v>
      </c>
      <c r="B325" s="381" t="s">
        <v>908</v>
      </c>
      <c r="C325" s="46">
        <v>46092</v>
      </c>
      <c r="D325" s="167" t="s">
        <v>70</v>
      </c>
      <c r="E325" s="376" t="s">
        <v>928</v>
      </c>
      <c r="F325" s="167" t="s">
        <v>138</v>
      </c>
      <c r="G325" s="168">
        <v>36</v>
      </c>
      <c r="H325" s="8" t="s">
        <v>49</v>
      </c>
      <c r="I325" s="8" t="s">
        <v>932</v>
      </c>
      <c r="J325" s="39">
        <v>1331695</v>
      </c>
      <c r="K325" s="169">
        <f t="shared" si="191"/>
        <v>119853</v>
      </c>
      <c r="L325" s="40">
        <f t="shared" si="192"/>
        <v>119853</v>
      </c>
      <c r="M325" s="8">
        <f t="shared" si="193"/>
        <v>0</v>
      </c>
      <c r="N325" s="406">
        <f t="shared" si="194"/>
        <v>1571401</v>
      </c>
      <c r="O325" s="378">
        <f>J325*0.25%</f>
        <v>3329.2375000000002</v>
      </c>
      <c r="P325" s="9">
        <f t="shared" si="209"/>
        <v>2.5000000000000001E-3</v>
      </c>
      <c r="Q325" s="378">
        <f>N325-O325</f>
        <v>1568071.7625</v>
      </c>
      <c r="R325" s="377">
        <v>46111</v>
      </c>
      <c r="S325" s="8" t="s">
        <v>74</v>
      </c>
      <c r="T325" s="20" t="s">
        <v>96</v>
      </c>
      <c r="U325" s="66">
        <f t="shared" si="210"/>
        <v>0</v>
      </c>
      <c r="V325" s="8"/>
      <c r="W325" s="7" t="str">
        <f t="shared" si="211"/>
        <v>No Due</v>
      </c>
      <c r="X325" s="8"/>
      <c r="Y325" s="8"/>
      <c r="Z325" s="266">
        <v>1128555</v>
      </c>
      <c r="AA325" s="41"/>
      <c r="AB325" s="41"/>
      <c r="AC325" s="41"/>
      <c r="AD325" s="41"/>
      <c r="AE325" s="236">
        <f t="shared" si="207"/>
        <v>1128555</v>
      </c>
      <c r="AF325" s="239">
        <f t="shared" si="208"/>
        <v>203140</v>
      </c>
      <c r="AG325" s="8"/>
      <c r="AH325" s="8"/>
      <c r="AI325" s="237"/>
    </row>
    <row r="326" spans="1:35" ht="30" hidden="1" customHeight="1" x14ac:dyDescent="0.3">
      <c r="A326" s="3">
        <f t="shared" si="173"/>
        <v>325</v>
      </c>
      <c r="B326" s="381" t="s">
        <v>908</v>
      </c>
      <c r="C326" s="46">
        <v>46091</v>
      </c>
      <c r="D326" s="167" t="s">
        <v>70</v>
      </c>
      <c r="E326" s="376" t="s">
        <v>929</v>
      </c>
      <c r="F326" s="167" t="s">
        <v>138</v>
      </c>
      <c r="G326" s="168">
        <v>36</v>
      </c>
      <c r="H326" s="8" t="s">
        <v>49</v>
      </c>
      <c r="I326" s="218" t="s">
        <v>930</v>
      </c>
      <c r="J326" s="39">
        <v>750360</v>
      </c>
      <c r="K326" s="169">
        <f t="shared" si="191"/>
        <v>67532</v>
      </c>
      <c r="L326" s="40">
        <f t="shared" si="192"/>
        <v>67532</v>
      </c>
      <c r="M326" s="8">
        <f t="shared" si="193"/>
        <v>0</v>
      </c>
      <c r="N326" s="406">
        <f t="shared" si="194"/>
        <v>885424</v>
      </c>
      <c r="O326" s="378">
        <f>J326*0.25%</f>
        <v>1875.9</v>
      </c>
      <c r="P326" s="9">
        <f t="shared" si="209"/>
        <v>2.5000000000000001E-3</v>
      </c>
      <c r="Q326" s="402">
        <f>N326-O326</f>
        <v>883548.1</v>
      </c>
      <c r="R326" s="377">
        <v>46111</v>
      </c>
      <c r="S326" s="8" t="s">
        <v>74</v>
      </c>
      <c r="T326" s="20" t="s">
        <v>96</v>
      </c>
      <c r="U326" s="66">
        <f t="shared" si="210"/>
        <v>0</v>
      </c>
      <c r="V326" s="8"/>
      <c r="W326" s="7" t="str">
        <f t="shared" si="211"/>
        <v>No Due</v>
      </c>
      <c r="X326" s="8"/>
      <c r="Y326" s="8"/>
      <c r="Z326" s="266">
        <v>701960</v>
      </c>
      <c r="AA326" s="41"/>
      <c r="AB326" s="41"/>
      <c r="AC326" s="41"/>
      <c r="AD326" s="41"/>
      <c r="AE326" s="236">
        <f t="shared" si="207"/>
        <v>701960</v>
      </c>
      <c r="AF326" s="239">
        <f t="shared" si="208"/>
        <v>48400</v>
      </c>
      <c r="AG326" s="8"/>
      <c r="AH326" s="8"/>
      <c r="AI326" s="237"/>
    </row>
    <row r="327" spans="1:35" ht="30" hidden="1" customHeight="1" x14ac:dyDescent="0.3">
      <c r="A327" s="3">
        <f t="shared" si="173"/>
        <v>326</v>
      </c>
      <c r="B327" s="381" t="s">
        <v>908</v>
      </c>
      <c r="C327" s="46">
        <v>46091</v>
      </c>
      <c r="D327" s="384" t="s">
        <v>70</v>
      </c>
      <c r="E327" s="376" t="s">
        <v>934</v>
      </c>
      <c r="F327" s="19" t="s">
        <v>824</v>
      </c>
      <c r="G327" s="261">
        <v>24</v>
      </c>
      <c r="H327" s="8" t="s">
        <v>810</v>
      </c>
      <c r="I327" s="24" t="s">
        <v>937</v>
      </c>
      <c r="J327" s="39">
        <v>203759</v>
      </c>
      <c r="K327" s="8">
        <f t="shared" si="191"/>
        <v>0</v>
      </c>
      <c r="L327" s="8">
        <f t="shared" si="192"/>
        <v>0</v>
      </c>
      <c r="M327" s="8">
        <f t="shared" si="193"/>
        <v>36677</v>
      </c>
      <c r="N327" s="406">
        <f t="shared" si="194"/>
        <v>240436</v>
      </c>
      <c r="O327" s="386">
        <v>4076</v>
      </c>
      <c r="P327" s="9">
        <f t="shared" si="209"/>
        <v>2.0004024362114067E-2</v>
      </c>
      <c r="Q327" s="386">
        <f>228110+2586</f>
        <v>230696</v>
      </c>
      <c r="R327" s="67">
        <v>46132</v>
      </c>
      <c r="S327" s="8" t="s">
        <v>74</v>
      </c>
      <c r="T327" s="20" t="s">
        <v>992</v>
      </c>
      <c r="U327" s="66">
        <f t="shared" si="210"/>
        <v>5664</v>
      </c>
      <c r="V327" s="8"/>
      <c r="W327" s="7" t="str">
        <f t="shared" si="211"/>
        <v>Outstanding</v>
      </c>
      <c r="X327" s="8"/>
      <c r="Y327" s="8"/>
      <c r="Z327" s="266">
        <v>169171</v>
      </c>
      <c r="AA327" s="41">
        <v>22348</v>
      </c>
      <c r="AB327" s="41"/>
      <c r="AC327" s="41">
        <v>1200</v>
      </c>
      <c r="AD327" s="41"/>
      <c r="AE327" s="236">
        <f>SUBTOTAL(9,Z327:AD327)</f>
        <v>0</v>
      </c>
      <c r="AF327" s="239">
        <f t="shared" si="208"/>
        <v>203759</v>
      </c>
      <c r="AG327" s="8"/>
      <c r="AH327" s="8"/>
      <c r="AI327" s="8"/>
    </row>
    <row r="328" spans="1:35" ht="30" hidden="1" customHeight="1" x14ac:dyDescent="0.3">
      <c r="A328" s="3">
        <f t="shared" si="173"/>
        <v>327</v>
      </c>
      <c r="B328" s="381" t="s">
        <v>908</v>
      </c>
      <c r="C328" s="46">
        <v>46091</v>
      </c>
      <c r="D328" s="384" t="s">
        <v>70</v>
      </c>
      <c r="E328" s="376" t="s">
        <v>935</v>
      </c>
      <c r="F328" s="19" t="s">
        <v>824</v>
      </c>
      <c r="G328" s="261">
        <v>24</v>
      </c>
      <c r="H328" s="8" t="s">
        <v>810</v>
      </c>
      <c r="I328" s="24" t="s">
        <v>938</v>
      </c>
      <c r="J328" s="39">
        <v>65621</v>
      </c>
      <c r="K328" s="8">
        <f t="shared" si="191"/>
        <v>0</v>
      </c>
      <c r="L328" s="8">
        <f t="shared" si="192"/>
        <v>0</v>
      </c>
      <c r="M328" s="8">
        <f t="shared" si="193"/>
        <v>11812</v>
      </c>
      <c r="N328" s="406">
        <f t="shared" si="194"/>
        <v>77433</v>
      </c>
      <c r="O328" s="386">
        <v>1313</v>
      </c>
      <c r="P328" s="9">
        <f t="shared" si="209"/>
        <v>2.0008838633973881E-2</v>
      </c>
      <c r="Q328" s="379">
        <v>76120</v>
      </c>
      <c r="R328" s="401" t="s">
        <v>1005</v>
      </c>
      <c r="S328" s="8" t="s">
        <v>74</v>
      </c>
      <c r="T328" s="20" t="s">
        <v>992</v>
      </c>
      <c r="U328" s="399">
        <f>N328-O328-Q328</f>
        <v>0</v>
      </c>
      <c r="V328" s="8"/>
      <c r="W328" s="383" t="s">
        <v>811</v>
      </c>
      <c r="X328" s="8"/>
      <c r="Y328" s="8"/>
      <c r="Z328" s="266">
        <v>53842</v>
      </c>
      <c r="AA328" s="41">
        <v>7239</v>
      </c>
      <c r="AB328" s="41"/>
      <c r="AC328" s="41">
        <v>400</v>
      </c>
      <c r="AD328" s="41"/>
      <c r="AE328" s="236">
        <f>SUBTOTAL(9,Z328:AD328)</f>
        <v>0</v>
      </c>
      <c r="AF328" s="239">
        <f t="shared" si="208"/>
        <v>65621</v>
      </c>
      <c r="AG328" s="8"/>
      <c r="AH328" s="8"/>
      <c r="AI328" s="8"/>
    </row>
    <row r="329" spans="1:35" ht="30" hidden="1" customHeight="1" x14ac:dyDescent="0.3">
      <c r="A329" s="3">
        <f t="shared" si="173"/>
        <v>328</v>
      </c>
      <c r="B329" s="381" t="s">
        <v>908</v>
      </c>
      <c r="C329" s="46">
        <v>46091</v>
      </c>
      <c r="D329" s="384" t="s">
        <v>70</v>
      </c>
      <c r="E329" s="376" t="s">
        <v>936</v>
      </c>
      <c r="F329" s="19" t="s">
        <v>824</v>
      </c>
      <c r="G329" s="261">
        <v>24</v>
      </c>
      <c r="H329" s="8" t="s">
        <v>810</v>
      </c>
      <c r="I329" s="24" t="s">
        <v>939</v>
      </c>
      <c r="J329" s="39">
        <v>55409</v>
      </c>
      <c r="K329" s="8">
        <f t="shared" si="191"/>
        <v>0</v>
      </c>
      <c r="L329" s="8">
        <f t="shared" si="192"/>
        <v>0</v>
      </c>
      <c r="M329" s="8">
        <f t="shared" si="193"/>
        <v>9974</v>
      </c>
      <c r="N329" s="406">
        <f t="shared" si="194"/>
        <v>65383</v>
      </c>
      <c r="O329" s="386">
        <v>1109</v>
      </c>
      <c r="P329" s="9">
        <f t="shared" si="209"/>
        <v>2.0014799039867168E-2</v>
      </c>
      <c r="Q329" s="379">
        <v>64274</v>
      </c>
      <c r="R329" s="377">
        <v>46140</v>
      </c>
      <c r="S329" s="8" t="s">
        <v>74</v>
      </c>
      <c r="T329" s="20" t="s">
        <v>992</v>
      </c>
      <c r="U329" s="399">
        <f>N329-O329-Q329</f>
        <v>0</v>
      </c>
      <c r="V329" s="8"/>
      <c r="W329" s="383" t="s">
        <v>811</v>
      </c>
      <c r="X329" s="8"/>
      <c r="Y329" s="8"/>
      <c r="Z329" s="266">
        <v>43639</v>
      </c>
      <c r="AA329" s="41">
        <v>7230</v>
      </c>
      <c r="AB329" s="41"/>
      <c r="AC329" s="41">
        <v>400</v>
      </c>
      <c r="AD329" s="41"/>
      <c r="AE329" s="236">
        <f>SUBTOTAL(9,Z329:AD329)</f>
        <v>0</v>
      </c>
      <c r="AF329" s="239">
        <f t="shared" si="208"/>
        <v>55409</v>
      </c>
      <c r="AG329" s="8"/>
      <c r="AH329" s="8"/>
      <c r="AI329" s="8"/>
    </row>
    <row r="330" spans="1:35" ht="30" hidden="1" customHeight="1" x14ac:dyDescent="0.3">
      <c r="A330" s="3">
        <f t="shared" si="173"/>
        <v>329</v>
      </c>
      <c r="B330" s="381" t="s">
        <v>908</v>
      </c>
      <c r="C330" s="46">
        <v>46102</v>
      </c>
      <c r="D330" s="130" t="s">
        <v>129</v>
      </c>
      <c r="E330" s="376" t="s">
        <v>940</v>
      </c>
      <c r="F330" s="130" t="s">
        <v>146</v>
      </c>
      <c r="G330" s="131">
        <v>36</v>
      </c>
      <c r="H330" s="8" t="s">
        <v>52</v>
      </c>
      <c r="I330" s="24" t="s">
        <v>942</v>
      </c>
      <c r="J330" s="39">
        <f>91*200</f>
        <v>18200</v>
      </c>
      <c r="K330" s="169">
        <f>J330*9%</f>
        <v>1638</v>
      </c>
      <c r="L330" s="169">
        <f>J330*9%</f>
        <v>1638</v>
      </c>
      <c r="M330" s="8">
        <f t="shared" si="193"/>
        <v>0</v>
      </c>
      <c r="N330" s="406">
        <f t="shared" si="194"/>
        <v>21476</v>
      </c>
      <c r="O330" s="378">
        <f>N330-Q330</f>
        <v>1820</v>
      </c>
      <c r="P330" s="9">
        <f t="shared" si="209"/>
        <v>0.1</v>
      </c>
      <c r="Q330" s="8">
        <v>19656</v>
      </c>
      <c r="R330" s="8"/>
      <c r="S330" s="8"/>
      <c r="T330" s="20"/>
      <c r="U330" s="66">
        <f t="shared" si="210"/>
        <v>0</v>
      </c>
      <c r="V330" s="8"/>
      <c r="W330" s="7" t="str">
        <f t="shared" si="211"/>
        <v>No Due</v>
      </c>
      <c r="X330" s="8"/>
      <c r="Y330" s="8"/>
      <c r="Z330" s="266">
        <v>0</v>
      </c>
      <c r="AA330" s="41">
        <v>0</v>
      </c>
      <c r="AB330" s="41">
        <v>0</v>
      </c>
      <c r="AC330" s="41">
        <v>0</v>
      </c>
      <c r="AD330" s="41">
        <v>0</v>
      </c>
      <c r="AE330" s="236">
        <f t="shared" ref="AE330:AE331" si="213">SUM(Z330:AD330)</f>
        <v>0</v>
      </c>
      <c r="AF330" s="239">
        <f t="shared" si="208"/>
        <v>18200</v>
      </c>
      <c r="AG330" s="237">
        <v>600</v>
      </c>
      <c r="AH330" s="8"/>
      <c r="AI330" s="8"/>
    </row>
    <row r="331" spans="1:35" ht="30" hidden="1" customHeight="1" x14ac:dyDescent="0.3">
      <c r="A331" s="3">
        <f t="shared" si="173"/>
        <v>330</v>
      </c>
      <c r="B331" s="381" t="s">
        <v>908</v>
      </c>
      <c r="C331" s="46">
        <v>46102</v>
      </c>
      <c r="D331" s="130" t="s">
        <v>129</v>
      </c>
      <c r="E331" s="376" t="s">
        <v>941</v>
      </c>
      <c r="F331" s="130" t="s">
        <v>131</v>
      </c>
      <c r="G331" s="131">
        <v>36</v>
      </c>
      <c r="H331" s="8" t="s">
        <v>51</v>
      </c>
      <c r="I331" s="24" t="s">
        <v>942</v>
      </c>
      <c r="J331" s="39">
        <f>3*200</f>
        <v>600</v>
      </c>
      <c r="K331" s="169">
        <f>J331*9%</f>
        <v>54</v>
      </c>
      <c r="L331" s="169">
        <f>J331*9%</f>
        <v>54</v>
      </c>
      <c r="M331" s="8">
        <f t="shared" si="193"/>
        <v>0</v>
      </c>
      <c r="N331" s="406">
        <f>J331+K331+L331+M331</f>
        <v>708</v>
      </c>
      <c r="O331" s="49">
        <f>J331*10%</f>
        <v>60</v>
      </c>
      <c r="P331" s="349">
        <f>O331/J331</f>
        <v>0.1</v>
      </c>
      <c r="Q331" s="388">
        <v>648</v>
      </c>
      <c r="R331" s="8"/>
      <c r="S331" s="8"/>
      <c r="T331" s="20"/>
      <c r="U331" s="66">
        <f t="shared" si="210"/>
        <v>0</v>
      </c>
      <c r="V331" s="8"/>
      <c r="W331" s="7" t="str">
        <f t="shared" si="211"/>
        <v>No Due</v>
      </c>
      <c r="X331" s="8"/>
      <c r="Y331" s="8"/>
      <c r="Z331" s="266">
        <v>0</v>
      </c>
      <c r="AA331" s="41">
        <v>0</v>
      </c>
      <c r="AB331" s="41">
        <v>0</v>
      </c>
      <c r="AC331" s="41">
        <v>0</v>
      </c>
      <c r="AD331" s="41">
        <v>0</v>
      </c>
      <c r="AE331" s="236">
        <f t="shared" si="213"/>
        <v>0</v>
      </c>
      <c r="AF331" s="239">
        <f>J331-AE331</f>
        <v>600</v>
      </c>
      <c r="AG331" s="237">
        <v>600</v>
      </c>
      <c r="AH331" s="8"/>
      <c r="AI331" s="8"/>
    </row>
    <row r="332" spans="1:35" ht="30" customHeight="1" x14ac:dyDescent="0.3">
      <c r="A332" s="3">
        <f t="shared" si="173"/>
        <v>331</v>
      </c>
      <c r="B332" s="381" t="s">
        <v>908</v>
      </c>
      <c r="C332" s="46">
        <v>46108</v>
      </c>
      <c r="D332" s="146" t="s">
        <v>288</v>
      </c>
      <c r="E332" s="376" t="s">
        <v>944</v>
      </c>
      <c r="F332" s="146" t="s">
        <v>289</v>
      </c>
      <c r="G332" s="147">
        <v>36</v>
      </c>
      <c r="H332" s="8" t="s">
        <v>287</v>
      </c>
      <c r="I332" s="24" t="s">
        <v>960</v>
      </c>
      <c r="J332" s="39">
        <v>366420.55</v>
      </c>
      <c r="K332" s="169">
        <f t="shared" ref="K332:K349" si="214">ROUND(IF(G332=36,J332*9%,0),0)</f>
        <v>32978</v>
      </c>
      <c r="L332" s="40">
        <f t="shared" ref="L332:L349" si="215">ROUND(IF(G332=36,J332*9%,0),0)</f>
        <v>32978</v>
      </c>
      <c r="M332" s="8">
        <f t="shared" ref="M332:M341" si="216">ROUND(IF(G332=36,J332*0%,J332*18%),0)</f>
        <v>0</v>
      </c>
      <c r="N332" s="406">
        <f t="shared" ref="N332:N349" si="217">J332+K332+L332+M332</f>
        <v>432376.55</v>
      </c>
      <c r="O332" s="378">
        <f t="shared" ref="O332:O334" si="218">J332*0.25%</f>
        <v>916.05137500000001</v>
      </c>
      <c r="P332" s="9">
        <f t="shared" ref="P332:P341" si="219">O332/J332</f>
        <v>2.5000000000000001E-3</v>
      </c>
      <c r="Q332" s="390">
        <f>387749+43711</f>
        <v>431460</v>
      </c>
      <c r="R332" s="391" t="s">
        <v>996</v>
      </c>
      <c r="S332" s="6" t="s">
        <v>74</v>
      </c>
      <c r="T332" s="20" t="s">
        <v>322</v>
      </c>
      <c r="U332" s="66">
        <f t="shared" si="210"/>
        <v>0.49862500000745058</v>
      </c>
      <c r="V332" s="8"/>
      <c r="W332" s="400" t="s">
        <v>811</v>
      </c>
      <c r="X332" s="8"/>
      <c r="Y332" s="8"/>
      <c r="Z332" s="266">
        <v>442867</v>
      </c>
      <c r="AA332" s="41"/>
      <c r="AB332" s="41"/>
      <c r="AC332" s="41"/>
      <c r="AD332" s="41"/>
      <c r="AE332" s="236"/>
      <c r="AF332" s="239"/>
      <c r="AG332" s="8"/>
      <c r="AH332" s="8"/>
      <c r="AI332" s="8"/>
    </row>
    <row r="333" spans="1:35" ht="30" customHeight="1" x14ac:dyDescent="0.3">
      <c r="A333" s="3">
        <f t="shared" si="173"/>
        <v>332</v>
      </c>
      <c r="B333" s="381" t="s">
        <v>908</v>
      </c>
      <c r="C333" s="46">
        <v>46108</v>
      </c>
      <c r="D333" s="146" t="s">
        <v>288</v>
      </c>
      <c r="E333" s="376" t="s">
        <v>945</v>
      </c>
      <c r="F333" s="146" t="s">
        <v>289</v>
      </c>
      <c r="G333" s="147">
        <v>36</v>
      </c>
      <c r="H333" s="8" t="s">
        <v>287</v>
      </c>
      <c r="I333" s="24" t="s">
        <v>961</v>
      </c>
      <c r="J333" s="39">
        <v>130247.55</v>
      </c>
      <c r="K333" s="169">
        <f t="shared" si="214"/>
        <v>11722</v>
      </c>
      <c r="L333" s="40">
        <f t="shared" si="215"/>
        <v>11722</v>
      </c>
      <c r="M333" s="8">
        <f t="shared" si="216"/>
        <v>0</v>
      </c>
      <c r="N333" s="406">
        <f t="shared" si="217"/>
        <v>153691.54999999999</v>
      </c>
      <c r="O333" s="378">
        <f t="shared" si="218"/>
        <v>325.618875</v>
      </c>
      <c r="P333" s="9">
        <f t="shared" si="219"/>
        <v>2.5000000000000001E-3</v>
      </c>
      <c r="Q333" s="390">
        <f t="shared" ref="Q333:Q339" si="220">N333-O333</f>
        <v>153365.931125</v>
      </c>
      <c r="R333" s="67">
        <v>46118</v>
      </c>
      <c r="S333" s="6" t="s">
        <v>74</v>
      </c>
      <c r="T333" s="20" t="s">
        <v>322</v>
      </c>
      <c r="U333" s="66">
        <f t="shared" ref="U333:U353" si="221">N333-O333-Q333</f>
        <v>0</v>
      </c>
      <c r="V333" s="8"/>
      <c r="W333" s="7" t="str">
        <f t="shared" ref="W333:W353" si="222">IF(U333=0,"No Due","Outstanding")</f>
        <v>No Due</v>
      </c>
      <c r="X333" s="8"/>
      <c r="Y333" s="8"/>
      <c r="Z333" s="266"/>
      <c r="AA333" s="41">
        <v>87075</v>
      </c>
      <c r="AB333" s="41"/>
      <c r="AC333" s="41"/>
      <c r="AD333" s="41"/>
      <c r="AE333" s="236"/>
      <c r="AF333" s="239"/>
      <c r="AG333" s="8"/>
      <c r="AH333" s="8"/>
      <c r="AI333" s="8"/>
    </row>
    <row r="334" spans="1:35" ht="30" customHeight="1" x14ac:dyDescent="0.3">
      <c r="A334" s="3">
        <f t="shared" si="173"/>
        <v>333</v>
      </c>
      <c r="B334" s="381" t="s">
        <v>908</v>
      </c>
      <c r="C334" s="46">
        <v>46108</v>
      </c>
      <c r="D334" s="146" t="s">
        <v>288</v>
      </c>
      <c r="E334" s="376" t="s">
        <v>946</v>
      </c>
      <c r="F334" s="146" t="s">
        <v>289</v>
      </c>
      <c r="G334" s="147">
        <v>36</v>
      </c>
      <c r="H334" s="8" t="s">
        <v>287</v>
      </c>
      <c r="I334" s="24" t="s">
        <v>960</v>
      </c>
      <c r="J334" s="39">
        <v>106546.61</v>
      </c>
      <c r="K334" s="169">
        <f t="shared" si="214"/>
        <v>9589</v>
      </c>
      <c r="L334" s="40">
        <f t="shared" si="215"/>
        <v>9589</v>
      </c>
      <c r="M334" s="8">
        <f t="shared" si="216"/>
        <v>0</v>
      </c>
      <c r="N334" s="406">
        <f t="shared" si="217"/>
        <v>125724.61</v>
      </c>
      <c r="O334" s="378">
        <f t="shared" si="218"/>
        <v>266.36652500000002</v>
      </c>
      <c r="P334" s="9">
        <f t="shared" si="219"/>
        <v>2.5000000000000001E-3</v>
      </c>
      <c r="Q334" s="390">
        <f t="shared" si="220"/>
        <v>125458.243475</v>
      </c>
      <c r="R334" s="67">
        <v>46118</v>
      </c>
      <c r="S334" s="6" t="s">
        <v>74</v>
      </c>
      <c r="T334" s="20" t="s">
        <v>322</v>
      </c>
      <c r="U334" s="66">
        <f t="shared" si="221"/>
        <v>0</v>
      </c>
      <c r="V334" s="8"/>
      <c r="W334" s="7" t="str">
        <f t="shared" si="222"/>
        <v>No Due</v>
      </c>
      <c r="X334" s="8"/>
      <c r="Y334" s="8"/>
      <c r="Z334" s="266"/>
      <c r="AA334" s="41"/>
      <c r="AB334" s="41">
        <v>14737</v>
      </c>
      <c r="AC334" s="41"/>
      <c r="AD334" s="41"/>
      <c r="AE334" s="236"/>
      <c r="AF334" s="239"/>
      <c r="AG334" s="8"/>
      <c r="AH334" s="8"/>
      <c r="AI334" s="8"/>
    </row>
    <row r="335" spans="1:35" ht="30" customHeight="1" x14ac:dyDescent="0.3">
      <c r="A335" s="3">
        <f t="shared" si="173"/>
        <v>334</v>
      </c>
      <c r="B335" s="381" t="s">
        <v>908</v>
      </c>
      <c r="C335" s="46">
        <v>46108</v>
      </c>
      <c r="D335" s="146" t="s">
        <v>288</v>
      </c>
      <c r="E335" s="376" t="s">
        <v>947</v>
      </c>
      <c r="F335" s="146" t="s">
        <v>289</v>
      </c>
      <c r="G335" s="147">
        <v>36</v>
      </c>
      <c r="H335" s="8" t="s">
        <v>287</v>
      </c>
      <c r="I335" s="24" t="s">
        <v>961</v>
      </c>
      <c r="J335" s="39">
        <v>767.3</v>
      </c>
      <c r="K335" s="169">
        <f t="shared" si="214"/>
        <v>69</v>
      </c>
      <c r="L335" s="40">
        <f t="shared" si="215"/>
        <v>69</v>
      </c>
      <c r="M335" s="8">
        <f t="shared" si="216"/>
        <v>0</v>
      </c>
      <c r="N335" s="406">
        <f t="shared" si="217"/>
        <v>905.3</v>
      </c>
      <c r="O335" s="378">
        <f t="shared" ref="O335" si="223">J335*0.25%</f>
        <v>1.91825</v>
      </c>
      <c r="P335" s="9">
        <f t="shared" ref="P335" si="224">O335/J335</f>
        <v>2.5000000000000001E-3</v>
      </c>
      <c r="Q335" s="390">
        <f t="shared" si="220"/>
        <v>903.38175000000001</v>
      </c>
      <c r="R335" s="67">
        <v>46118</v>
      </c>
      <c r="S335" s="6" t="s">
        <v>74</v>
      </c>
      <c r="T335" s="20" t="s">
        <v>322</v>
      </c>
      <c r="U335" s="66">
        <f t="shared" si="221"/>
        <v>0</v>
      </c>
      <c r="V335" s="8"/>
      <c r="W335" s="7" t="str">
        <f t="shared" si="222"/>
        <v>No Due</v>
      </c>
      <c r="X335" s="8"/>
      <c r="Y335" s="8"/>
      <c r="Z335" s="266"/>
      <c r="AA335" s="41"/>
      <c r="AB335" s="41"/>
      <c r="AC335" s="41">
        <v>900</v>
      </c>
      <c r="AD335" s="41"/>
      <c r="AE335" s="236"/>
      <c r="AF335" s="239"/>
      <c r="AG335" s="8"/>
      <c r="AH335" s="8"/>
      <c r="AI335" s="8"/>
    </row>
    <row r="336" spans="1:35" ht="30" hidden="1" customHeight="1" x14ac:dyDescent="0.3">
      <c r="A336" s="3">
        <f t="shared" si="173"/>
        <v>335</v>
      </c>
      <c r="B336" s="381" t="s">
        <v>908</v>
      </c>
      <c r="C336" s="46">
        <v>46107</v>
      </c>
      <c r="D336" s="167" t="s">
        <v>70</v>
      </c>
      <c r="E336" s="376" t="s">
        <v>950</v>
      </c>
      <c r="F336" s="167" t="s">
        <v>138</v>
      </c>
      <c r="G336" s="147">
        <v>36</v>
      </c>
      <c r="H336" s="8" t="s">
        <v>49</v>
      </c>
      <c r="I336" s="218" t="s">
        <v>956</v>
      </c>
      <c r="J336" s="39">
        <v>27226169</v>
      </c>
      <c r="K336" s="169">
        <f t="shared" si="214"/>
        <v>2450355</v>
      </c>
      <c r="L336" s="40">
        <f t="shared" si="215"/>
        <v>2450355</v>
      </c>
      <c r="M336" s="8">
        <f t="shared" si="216"/>
        <v>0</v>
      </c>
      <c r="N336" s="406">
        <f t="shared" si="217"/>
        <v>32126879</v>
      </c>
      <c r="O336" s="378">
        <v>1866229</v>
      </c>
      <c r="P336" s="9">
        <f t="shared" si="219"/>
        <v>6.8545413054624027E-2</v>
      </c>
      <c r="Q336" s="378">
        <f t="shared" si="220"/>
        <v>30260650</v>
      </c>
      <c r="R336" s="377">
        <v>46142</v>
      </c>
      <c r="S336" s="8" t="s">
        <v>74</v>
      </c>
      <c r="T336" s="20" t="s">
        <v>96</v>
      </c>
      <c r="U336" s="66">
        <f t="shared" si="221"/>
        <v>0</v>
      </c>
      <c r="V336" s="8"/>
      <c r="W336" s="7" t="str">
        <f t="shared" si="222"/>
        <v>No Due</v>
      </c>
      <c r="X336" s="8"/>
      <c r="Y336" s="8"/>
      <c r="Z336" s="266">
        <v>24304310</v>
      </c>
      <c r="AA336" s="41">
        <v>2164565</v>
      </c>
      <c r="AB336" s="41">
        <v>756</v>
      </c>
      <c r="AC336" s="41">
        <v>114750</v>
      </c>
      <c r="AD336" s="41">
        <v>316737</v>
      </c>
      <c r="AE336" s="236">
        <f t="shared" ref="AE336" si="225">SUM(Z336:AD336)</f>
        <v>26901118</v>
      </c>
      <c r="AF336" s="239">
        <f>J336-AE336</f>
        <v>325051</v>
      </c>
      <c r="AG336" s="8"/>
      <c r="AH336" s="8"/>
      <c r="AI336" s="237"/>
    </row>
    <row r="337" spans="1:35" ht="30" hidden="1" customHeight="1" x14ac:dyDescent="0.3">
      <c r="A337" s="3">
        <f t="shared" si="173"/>
        <v>336</v>
      </c>
      <c r="B337" s="381" t="s">
        <v>908</v>
      </c>
      <c r="C337" s="46">
        <v>46107</v>
      </c>
      <c r="D337" s="167" t="s">
        <v>70</v>
      </c>
      <c r="E337" s="376" t="s">
        <v>951</v>
      </c>
      <c r="F337" s="167" t="s">
        <v>138</v>
      </c>
      <c r="G337" s="147">
        <v>36</v>
      </c>
      <c r="H337" s="8" t="s">
        <v>49</v>
      </c>
      <c r="I337" s="24" t="s">
        <v>959</v>
      </c>
      <c r="J337" s="39">
        <v>500435</v>
      </c>
      <c r="K337" s="169">
        <f t="shared" si="214"/>
        <v>45039</v>
      </c>
      <c r="L337" s="40">
        <f t="shared" si="215"/>
        <v>45039</v>
      </c>
      <c r="M337" s="8">
        <f t="shared" si="216"/>
        <v>0</v>
      </c>
      <c r="N337" s="406">
        <f t="shared" si="217"/>
        <v>590513</v>
      </c>
      <c r="O337" s="378">
        <v>1251</v>
      </c>
      <c r="P337" s="9">
        <f t="shared" si="219"/>
        <v>2.4998251521176577E-3</v>
      </c>
      <c r="Q337" s="378">
        <f t="shared" si="220"/>
        <v>589262</v>
      </c>
      <c r="R337" s="377">
        <v>46142</v>
      </c>
      <c r="S337" s="8" t="s">
        <v>74</v>
      </c>
      <c r="T337" s="20" t="s">
        <v>96</v>
      </c>
      <c r="U337" s="66">
        <f t="shared" si="221"/>
        <v>0</v>
      </c>
      <c r="V337" s="8"/>
      <c r="W337" s="7" t="str">
        <f t="shared" si="222"/>
        <v>No Due</v>
      </c>
      <c r="X337" s="8"/>
      <c r="Y337" s="8"/>
      <c r="Z337" s="266">
        <v>497135</v>
      </c>
      <c r="AA337" s="41"/>
      <c r="AB337" s="41"/>
      <c r="AC337" s="41"/>
      <c r="AD337" s="41"/>
      <c r="AE337" s="236">
        <f>SUM(Z337:AD337)</f>
        <v>497135</v>
      </c>
      <c r="AF337" s="239">
        <f>J337-AE337</f>
        <v>3300</v>
      </c>
      <c r="AG337" s="237">
        <f t="shared" ref="AG337" si="226">AF337</f>
        <v>3300</v>
      </c>
      <c r="AH337" s="8"/>
      <c r="AI337" s="237"/>
    </row>
    <row r="338" spans="1:35" ht="30" hidden="1" customHeight="1" x14ac:dyDescent="0.3">
      <c r="A338" s="3">
        <f t="shared" si="173"/>
        <v>337</v>
      </c>
      <c r="B338" s="381" t="s">
        <v>908</v>
      </c>
      <c r="C338" s="46">
        <v>46107</v>
      </c>
      <c r="D338" s="167" t="s">
        <v>70</v>
      </c>
      <c r="E338" s="376" t="s">
        <v>952</v>
      </c>
      <c r="F338" s="167" t="s">
        <v>138</v>
      </c>
      <c r="G338" s="147">
        <v>36</v>
      </c>
      <c r="H338" s="8" t="s">
        <v>49</v>
      </c>
      <c r="I338" s="8" t="s">
        <v>957</v>
      </c>
      <c r="J338" s="39">
        <v>1529</v>
      </c>
      <c r="K338" s="169">
        <f t="shared" si="214"/>
        <v>138</v>
      </c>
      <c r="L338" s="40">
        <f t="shared" si="215"/>
        <v>138</v>
      </c>
      <c r="M338" s="8">
        <f t="shared" si="216"/>
        <v>0</v>
      </c>
      <c r="N338" s="406">
        <f t="shared" si="217"/>
        <v>1805</v>
      </c>
      <c r="O338" s="378">
        <v>4</v>
      </c>
      <c r="P338" s="9">
        <f t="shared" si="219"/>
        <v>2.616088947024199E-3</v>
      </c>
      <c r="Q338" s="378">
        <f t="shared" si="220"/>
        <v>1801</v>
      </c>
      <c r="R338" s="377">
        <v>46142</v>
      </c>
      <c r="S338" s="8" t="s">
        <v>74</v>
      </c>
      <c r="T338" s="20" t="s">
        <v>96</v>
      </c>
      <c r="U338" s="66">
        <f t="shared" si="221"/>
        <v>0</v>
      </c>
      <c r="V338" s="8"/>
      <c r="W338" s="7" t="str">
        <f t="shared" si="222"/>
        <v>No Due</v>
      </c>
      <c r="X338" s="8"/>
      <c r="Y338" s="8"/>
      <c r="Z338" s="266">
        <v>1295</v>
      </c>
      <c r="AA338" s="41"/>
      <c r="AB338" s="41"/>
      <c r="AC338" s="41"/>
      <c r="AD338" s="41"/>
      <c r="AE338" s="236">
        <f>SUM(Z338:AD338)</f>
        <v>1295</v>
      </c>
      <c r="AF338" s="239">
        <f>J338-AE338</f>
        <v>234</v>
      </c>
      <c r="AG338" s="8"/>
      <c r="AH338" s="8"/>
      <c r="AI338" s="237"/>
    </row>
    <row r="339" spans="1:35" ht="30" hidden="1" customHeight="1" x14ac:dyDescent="0.3">
      <c r="A339" s="3">
        <f t="shared" si="173"/>
        <v>338</v>
      </c>
      <c r="B339" s="381" t="s">
        <v>908</v>
      </c>
      <c r="C339" s="46">
        <v>46107</v>
      </c>
      <c r="D339" s="167" t="s">
        <v>70</v>
      </c>
      <c r="E339" s="376" t="s">
        <v>953</v>
      </c>
      <c r="F339" s="167" t="s">
        <v>138</v>
      </c>
      <c r="G339" s="147">
        <v>36</v>
      </c>
      <c r="H339" s="8" t="s">
        <v>49</v>
      </c>
      <c r="I339" s="218" t="s">
        <v>958</v>
      </c>
      <c r="J339" s="39">
        <v>435375</v>
      </c>
      <c r="K339" s="169">
        <f t="shared" si="214"/>
        <v>39184</v>
      </c>
      <c r="L339" s="40">
        <f t="shared" si="215"/>
        <v>39184</v>
      </c>
      <c r="M339" s="8">
        <f t="shared" si="216"/>
        <v>0</v>
      </c>
      <c r="N339" s="406">
        <f t="shared" si="217"/>
        <v>513743</v>
      </c>
      <c r="O339" s="378">
        <v>1088</v>
      </c>
      <c r="P339" s="9">
        <f t="shared" si="219"/>
        <v>2.498995119150158E-3</v>
      </c>
      <c r="Q339" s="378">
        <f t="shared" si="220"/>
        <v>512655</v>
      </c>
      <c r="R339" s="377">
        <v>46142</v>
      </c>
      <c r="S339" s="8" t="s">
        <v>74</v>
      </c>
      <c r="T339" s="20" t="s">
        <v>96</v>
      </c>
      <c r="U339" s="66">
        <f t="shared" si="221"/>
        <v>0</v>
      </c>
      <c r="V339" s="8"/>
      <c r="W339" s="7" t="str">
        <f t="shared" si="222"/>
        <v>No Due</v>
      </c>
      <c r="X339" s="8"/>
      <c r="Y339" s="8"/>
      <c r="Z339" s="266">
        <v>419425</v>
      </c>
      <c r="AA339" s="41"/>
      <c r="AB339" s="41"/>
      <c r="AC339" s="41"/>
      <c r="AD339" s="41"/>
      <c r="AE339" s="236">
        <f>SUM(Z339:AD339)</f>
        <v>419425</v>
      </c>
      <c r="AF339" s="239">
        <f>J339-AE339</f>
        <v>15950</v>
      </c>
      <c r="AG339" s="8"/>
      <c r="AH339" s="8"/>
      <c r="AI339" s="237"/>
    </row>
    <row r="340" spans="1:35" ht="30" hidden="1" customHeight="1" x14ac:dyDescent="0.3">
      <c r="A340" s="3">
        <f t="shared" si="173"/>
        <v>339</v>
      </c>
      <c r="B340" s="381" t="s">
        <v>908</v>
      </c>
      <c r="C340" s="46">
        <v>46109</v>
      </c>
      <c r="D340" s="167" t="s">
        <v>70</v>
      </c>
      <c r="E340" s="376" t="s">
        <v>954</v>
      </c>
      <c r="F340" s="167" t="s">
        <v>138</v>
      </c>
      <c r="G340" s="147">
        <v>36</v>
      </c>
      <c r="H340" s="8" t="s">
        <v>49</v>
      </c>
      <c r="I340" s="218" t="s">
        <v>964</v>
      </c>
      <c r="J340" s="39">
        <v>521977</v>
      </c>
      <c r="K340" s="169">
        <f t="shared" si="214"/>
        <v>46978</v>
      </c>
      <c r="L340" s="40">
        <f t="shared" si="215"/>
        <v>46978</v>
      </c>
      <c r="M340" s="8">
        <f t="shared" si="216"/>
        <v>0</v>
      </c>
      <c r="N340" s="406">
        <f t="shared" si="217"/>
        <v>615933</v>
      </c>
      <c r="O340" s="378">
        <v>5220</v>
      </c>
      <c r="P340" s="9">
        <f t="shared" si="219"/>
        <v>1.0000440632441659E-2</v>
      </c>
      <c r="Q340" s="379">
        <v>610712.86</v>
      </c>
      <c r="R340" s="377">
        <v>46172</v>
      </c>
      <c r="S340" s="8" t="s">
        <v>74</v>
      </c>
      <c r="T340" s="20" t="s">
        <v>96</v>
      </c>
      <c r="U340" s="66">
        <f t="shared" si="221"/>
        <v>0.14000000001396984</v>
      </c>
      <c r="V340" s="8"/>
      <c r="W340" s="383" t="s">
        <v>811</v>
      </c>
      <c r="X340" s="8"/>
      <c r="Y340" s="8"/>
      <c r="Z340" s="266">
        <v>479627</v>
      </c>
      <c r="AA340" s="41"/>
      <c r="AB340" s="41"/>
      <c r="AC340" s="41"/>
      <c r="AD340" s="41"/>
      <c r="AE340" s="236">
        <f>SUM(Z340:AD340)</f>
        <v>479627</v>
      </c>
      <c r="AF340" s="239">
        <f>J340-AE340</f>
        <v>42350</v>
      </c>
      <c r="AG340" s="8"/>
      <c r="AH340" s="8"/>
      <c r="AI340" s="237"/>
    </row>
    <row r="341" spans="1:35" ht="30" hidden="1" customHeight="1" x14ac:dyDescent="0.3">
      <c r="A341" s="3">
        <f t="shared" si="173"/>
        <v>340</v>
      </c>
      <c r="B341" s="381" t="s">
        <v>908</v>
      </c>
      <c r="C341" s="46">
        <v>46107</v>
      </c>
      <c r="D341" s="380" t="s">
        <v>70</v>
      </c>
      <c r="E341" s="376" t="s">
        <v>955</v>
      </c>
      <c r="F341" s="331" t="s">
        <v>126</v>
      </c>
      <c r="G341" s="19">
        <v>24</v>
      </c>
      <c r="H341" s="8" t="s">
        <v>125</v>
      </c>
      <c r="I341" s="24" t="s">
        <v>962</v>
      </c>
      <c r="J341" s="39">
        <v>16667731</v>
      </c>
      <c r="K341" s="43">
        <f t="shared" si="214"/>
        <v>0</v>
      </c>
      <c r="L341" s="40">
        <f t="shared" si="215"/>
        <v>0</v>
      </c>
      <c r="M341" s="40">
        <f t="shared" si="216"/>
        <v>3000192</v>
      </c>
      <c r="N341" s="406">
        <f t="shared" si="217"/>
        <v>19667923</v>
      </c>
      <c r="O341" s="49">
        <f>N341-Q341</f>
        <v>41669.420000001788</v>
      </c>
      <c r="P341" s="349">
        <f t="shared" si="219"/>
        <v>2.500005549645707E-3</v>
      </c>
      <c r="Q341" s="386">
        <v>19626253.579999998</v>
      </c>
      <c r="R341" s="67">
        <v>46120</v>
      </c>
      <c r="S341" s="6" t="s">
        <v>74</v>
      </c>
      <c r="T341" s="20" t="s">
        <v>569</v>
      </c>
      <c r="U341" s="66">
        <f t="shared" si="221"/>
        <v>0</v>
      </c>
      <c r="V341" s="8"/>
      <c r="W341" s="7" t="str">
        <f t="shared" si="222"/>
        <v>No Due</v>
      </c>
      <c r="X341" s="8"/>
      <c r="Y341" s="8"/>
      <c r="Z341" s="266">
        <v>14099384</v>
      </c>
      <c r="AA341" s="41">
        <v>1886747</v>
      </c>
      <c r="AB341" s="41"/>
      <c r="AC341" s="41">
        <v>101400</v>
      </c>
      <c r="AD341" s="41"/>
      <c r="AE341" s="236">
        <f t="shared" ref="AE341" si="227">SUM(Z341:AD341)</f>
        <v>16087531</v>
      </c>
      <c r="AF341" s="239">
        <f t="shared" ref="AF341" si="228">J341-AE341</f>
        <v>580200</v>
      </c>
      <c r="AG341" s="237">
        <f>AF341-AH341</f>
        <v>520200</v>
      </c>
      <c r="AH341" s="237">
        <v>60000</v>
      </c>
      <c r="AI341" s="8"/>
    </row>
    <row r="342" spans="1:35" ht="30" hidden="1" customHeight="1" x14ac:dyDescent="0.3">
      <c r="A342" s="3">
        <f t="shared" si="173"/>
        <v>341</v>
      </c>
      <c r="B342" s="381" t="s">
        <v>908</v>
      </c>
      <c r="C342" s="392">
        <v>46111</v>
      </c>
      <c r="D342" s="380" t="s">
        <v>70</v>
      </c>
      <c r="E342" s="376" t="s">
        <v>963</v>
      </c>
      <c r="F342" s="20" t="s">
        <v>902</v>
      </c>
      <c r="G342" s="147">
        <v>37</v>
      </c>
      <c r="H342" s="396" t="s">
        <v>901</v>
      </c>
      <c r="I342" s="24" t="s">
        <v>965</v>
      </c>
      <c r="J342" s="39">
        <v>405260</v>
      </c>
      <c r="K342" s="8">
        <f t="shared" si="214"/>
        <v>0</v>
      </c>
      <c r="L342" s="8">
        <f t="shared" si="215"/>
        <v>0</v>
      </c>
      <c r="M342" s="8"/>
      <c r="N342" s="406">
        <f t="shared" si="217"/>
        <v>405260</v>
      </c>
      <c r="O342" s="49">
        <f>N342-Q342</f>
        <v>16135</v>
      </c>
      <c r="P342" s="385">
        <f>O342/J342</f>
        <v>3.9813946602181315E-2</v>
      </c>
      <c r="Q342" s="8">
        <v>389125</v>
      </c>
      <c r="R342" s="67">
        <v>46119</v>
      </c>
      <c r="S342" s="8" t="s">
        <v>948</v>
      </c>
      <c r="T342" s="20" t="s">
        <v>949</v>
      </c>
      <c r="U342" s="66">
        <f t="shared" si="221"/>
        <v>0</v>
      </c>
      <c r="V342" s="8"/>
      <c r="W342" s="7" t="str">
        <f t="shared" si="222"/>
        <v>No Due</v>
      </c>
      <c r="X342" s="8"/>
      <c r="Y342" s="8"/>
      <c r="Z342" s="266">
        <v>336116</v>
      </c>
      <c r="AA342" s="41">
        <v>48377</v>
      </c>
      <c r="AB342" s="41">
        <v>3816</v>
      </c>
      <c r="AC342" s="41">
        <v>2450</v>
      </c>
      <c r="AD342" s="41"/>
      <c r="AE342" s="236">
        <f>SUM(Z342:AD342)</f>
        <v>390759</v>
      </c>
      <c r="AF342" s="239">
        <f>J342-AE342</f>
        <v>14501</v>
      </c>
      <c r="AG342" s="8"/>
      <c r="AH342" s="8"/>
      <c r="AI342" s="8"/>
    </row>
    <row r="343" spans="1:35" ht="30" hidden="1" customHeight="1" x14ac:dyDescent="0.3">
      <c r="A343" s="3">
        <f t="shared" si="173"/>
        <v>342</v>
      </c>
      <c r="B343" s="381" t="s">
        <v>908</v>
      </c>
      <c r="C343" s="46">
        <v>46112</v>
      </c>
      <c r="D343" s="167" t="s">
        <v>70</v>
      </c>
      <c r="E343" s="376" t="s">
        <v>966</v>
      </c>
      <c r="F343" s="167" t="s">
        <v>138</v>
      </c>
      <c r="G343" s="147">
        <v>36</v>
      </c>
      <c r="H343" s="8" t="s">
        <v>49</v>
      </c>
      <c r="I343" s="218" t="s">
        <v>967</v>
      </c>
      <c r="J343" s="39">
        <v>86166</v>
      </c>
      <c r="K343" s="8">
        <f t="shared" si="214"/>
        <v>7755</v>
      </c>
      <c r="L343" s="8">
        <f t="shared" si="215"/>
        <v>7755</v>
      </c>
      <c r="M343" s="8"/>
      <c r="N343" s="406">
        <f t="shared" si="217"/>
        <v>101676</v>
      </c>
      <c r="O343" s="378">
        <v>862</v>
      </c>
      <c r="P343" s="9">
        <f t="shared" ref="P343" si="229">O343/J343</f>
        <v>1.0003945871921639E-2</v>
      </c>
      <c r="Q343" s="379">
        <v>100813.88</v>
      </c>
      <c r="R343" s="377">
        <v>46172</v>
      </c>
      <c r="S343" s="8" t="s">
        <v>74</v>
      </c>
      <c r="T343" s="20" t="s">
        <v>96</v>
      </c>
      <c r="U343" s="66">
        <f t="shared" si="221"/>
        <v>0.11999999999534339</v>
      </c>
      <c r="V343" s="8"/>
      <c r="W343" s="383" t="s">
        <v>811</v>
      </c>
      <c r="X343" s="8"/>
      <c r="Y343" s="8"/>
      <c r="Z343" s="266">
        <v>86166</v>
      </c>
      <c r="AA343" s="41"/>
      <c r="AB343" s="41"/>
      <c r="AC343" s="41"/>
      <c r="AD343" s="41"/>
      <c r="AE343" s="236">
        <f>SUM(Z343:AD343)</f>
        <v>86166</v>
      </c>
      <c r="AF343" s="239">
        <f>J343-AE343</f>
        <v>0</v>
      </c>
      <c r="AG343" s="8"/>
      <c r="AH343" s="8"/>
      <c r="AI343" s="237"/>
    </row>
    <row r="344" spans="1:35" ht="30" hidden="1" customHeight="1" x14ac:dyDescent="0.3">
      <c r="A344" s="3">
        <f t="shared" si="173"/>
        <v>343</v>
      </c>
      <c r="B344" s="381" t="s">
        <v>908</v>
      </c>
      <c r="C344" s="46">
        <v>46112</v>
      </c>
      <c r="D344" s="380" t="s">
        <v>70</v>
      </c>
      <c r="E344" s="376" t="s">
        <v>968</v>
      </c>
      <c r="F344" s="20" t="s">
        <v>919</v>
      </c>
      <c r="G344" s="147">
        <v>37</v>
      </c>
      <c r="H344" s="8" t="s">
        <v>920</v>
      </c>
      <c r="I344" s="24" t="s">
        <v>969</v>
      </c>
      <c r="J344" s="39">
        <v>1224012</v>
      </c>
      <c r="K344" s="8">
        <f t="shared" si="214"/>
        <v>0</v>
      </c>
      <c r="L344" s="8">
        <f t="shared" si="215"/>
        <v>0</v>
      </c>
      <c r="M344" s="386">
        <f t="shared" ref="M344:M349" si="230">ROUND(IF(G344=36,J344*0%,J344*18%),0)</f>
        <v>220322</v>
      </c>
      <c r="N344" s="406">
        <f t="shared" si="217"/>
        <v>1444334</v>
      </c>
      <c r="O344" s="49">
        <f>N344-Q344</f>
        <v>24480.080000000075</v>
      </c>
      <c r="P344" s="385">
        <f>O344/J344</f>
        <v>1.9999869282327359E-2</v>
      </c>
      <c r="Q344" s="8">
        <v>1419853.92</v>
      </c>
      <c r="R344" s="377">
        <v>46125</v>
      </c>
      <c r="S344" s="8" t="s">
        <v>74</v>
      </c>
      <c r="T344" s="20" t="s">
        <v>943</v>
      </c>
      <c r="U344" s="66">
        <f t="shared" si="221"/>
        <v>0</v>
      </c>
      <c r="V344" s="8"/>
      <c r="W344" s="7" t="str">
        <f t="shared" si="222"/>
        <v>No Due</v>
      </c>
      <c r="X344" s="8"/>
      <c r="Y344" s="8"/>
      <c r="Z344" s="266">
        <v>859399</v>
      </c>
      <c r="AA344" s="41">
        <v>222913.25</v>
      </c>
      <c r="AB344" s="41">
        <v>40652</v>
      </c>
      <c r="AC344" s="41">
        <v>3900</v>
      </c>
      <c r="AD344" s="41">
        <v>35460</v>
      </c>
      <c r="AE344" s="236">
        <f>SUM(Z344:AD344)</f>
        <v>1162324.25</v>
      </c>
      <c r="AF344" s="239">
        <f>J344-AE344</f>
        <v>61687.75</v>
      </c>
      <c r="AG344" s="8"/>
      <c r="AH344" s="8"/>
      <c r="AI344" s="8"/>
    </row>
    <row r="345" spans="1:35" ht="30" hidden="1" customHeight="1" x14ac:dyDescent="0.3">
      <c r="A345" s="3">
        <f t="shared" si="173"/>
        <v>344</v>
      </c>
      <c r="B345" s="381" t="s">
        <v>908</v>
      </c>
      <c r="C345" s="46">
        <v>46112</v>
      </c>
      <c r="D345" s="164" t="s">
        <v>70</v>
      </c>
      <c r="E345" s="376" t="s">
        <v>970</v>
      </c>
      <c r="F345" s="260" t="s">
        <v>134</v>
      </c>
      <c r="G345" s="261">
        <v>10</v>
      </c>
      <c r="H345" s="8" t="s">
        <v>39</v>
      </c>
      <c r="I345" s="24" t="s">
        <v>971</v>
      </c>
      <c r="J345" s="39">
        <v>39001</v>
      </c>
      <c r="K345" s="148">
        <f t="shared" si="214"/>
        <v>0</v>
      </c>
      <c r="L345" s="40">
        <f t="shared" si="215"/>
        <v>0</v>
      </c>
      <c r="M345" s="40">
        <f t="shared" si="230"/>
        <v>7020</v>
      </c>
      <c r="N345" s="406">
        <f t="shared" si="217"/>
        <v>46021</v>
      </c>
      <c r="O345" s="49">
        <f t="shared" ref="O345" si="231">N345-Q345</f>
        <v>779.98999999999796</v>
      </c>
      <c r="P345" s="9">
        <f t="shared" ref="P345" si="232">O345/J345</f>
        <v>1.9999230788954075E-2</v>
      </c>
      <c r="Q345" s="8">
        <f>38221.01+7020</f>
        <v>45241.01</v>
      </c>
      <c r="R345" s="401" t="s">
        <v>998</v>
      </c>
      <c r="S345" s="8"/>
      <c r="T345" s="20"/>
      <c r="U345" s="66">
        <f t="shared" si="221"/>
        <v>0</v>
      </c>
      <c r="V345" s="8"/>
      <c r="W345" s="7" t="str">
        <f t="shared" si="222"/>
        <v>No Due</v>
      </c>
      <c r="X345" s="8"/>
      <c r="Y345" s="8"/>
      <c r="Z345" s="266">
        <v>34201</v>
      </c>
      <c r="AA345" s="41">
        <v>3750</v>
      </c>
      <c r="AB345" s="41">
        <v>0</v>
      </c>
      <c r="AC345" s="41">
        <v>200</v>
      </c>
      <c r="AD345" s="8"/>
      <c r="AE345" s="236">
        <f t="shared" ref="AE345" si="233">SUM(Z345:AD345)</f>
        <v>38151</v>
      </c>
      <c r="AF345" s="239">
        <f t="shared" ref="AF345:AF353" si="234">J345-AE345</f>
        <v>850</v>
      </c>
      <c r="AG345" s="8"/>
      <c r="AH345" s="8"/>
      <c r="AI345" s="8"/>
    </row>
    <row r="346" spans="1:35" ht="30" hidden="1" customHeight="1" x14ac:dyDescent="0.3">
      <c r="A346" s="3">
        <f t="shared" si="173"/>
        <v>345</v>
      </c>
      <c r="B346" s="381" t="s">
        <v>908</v>
      </c>
      <c r="C346" s="46">
        <v>46112</v>
      </c>
      <c r="D346" s="380" t="s">
        <v>70</v>
      </c>
      <c r="E346" s="376" t="s">
        <v>972</v>
      </c>
      <c r="F346" s="376" t="s">
        <v>916</v>
      </c>
      <c r="G346" s="261">
        <v>24</v>
      </c>
      <c r="H346" s="8" t="s">
        <v>917</v>
      </c>
      <c r="I346" s="8" t="s">
        <v>974</v>
      </c>
      <c r="J346" s="39">
        <v>75231</v>
      </c>
      <c r="K346" s="8">
        <f t="shared" si="214"/>
        <v>0</v>
      </c>
      <c r="L346" s="8">
        <f t="shared" si="215"/>
        <v>0</v>
      </c>
      <c r="M346" s="386">
        <f t="shared" si="230"/>
        <v>13542</v>
      </c>
      <c r="N346" s="406">
        <f t="shared" si="217"/>
        <v>88773</v>
      </c>
      <c r="O346" s="49">
        <v>1505</v>
      </c>
      <c r="P346" s="385">
        <f>O346/J346</f>
        <v>2.0005051109250178E-2</v>
      </c>
      <c r="Q346" s="8">
        <f>49639+37441</f>
        <v>87080</v>
      </c>
      <c r="R346" s="401" t="s">
        <v>1004</v>
      </c>
      <c r="S346" s="8" t="s">
        <v>74</v>
      </c>
      <c r="T346" s="20" t="s">
        <v>992</v>
      </c>
      <c r="U346" s="66">
        <f>N346-O346-Q346</f>
        <v>188</v>
      </c>
      <c r="V346" s="8"/>
      <c r="W346" s="383" t="s">
        <v>811</v>
      </c>
      <c r="X346" s="8"/>
      <c r="Y346" s="8"/>
      <c r="Z346" s="266">
        <v>41238.918269230766</v>
      </c>
      <c r="AA346" s="41">
        <v>9056</v>
      </c>
      <c r="AB346" s="8"/>
      <c r="AC346" s="8"/>
      <c r="AD346" s="8">
        <v>8400</v>
      </c>
      <c r="AE346" s="236">
        <f>SUM(Z346:AD346)</f>
        <v>58694.918269230766</v>
      </c>
      <c r="AF346" s="239">
        <f t="shared" si="234"/>
        <v>16536.081730769234</v>
      </c>
      <c r="AG346" s="386">
        <f>AF346-AH346</f>
        <v>3260.0817307692341</v>
      </c>
      <c r="AH346" s="8">
        <v>13276</v>
      </c>
      <c r="AI346" s="8"/>
    </row>
    <row r="347" spans="1:35" ht="30" hidden="1" customHeight="1" x14ac:dyDescent="0.3">
      <c r="A347" s="3">
        <f t="shared" si="173"/>
        <v>346</v>
      </c>
      <c r="B347" s="381" t="s">
        <v>908</v>
      </c>
      <c r="C347" s="46">
        <v>46112</v>
      </c>
      <c r="D347" s="380" t="s">
        <v>70</v>
      </c>
      <c r="E347" s="376" t="s">
        <v>975</v>
      </c>
      <c r="F347" s="376" t="s">
        <v>626</v>
      </c>
      <c r="G347" s="261">
        <v>24</v>
      </c>
      <c r="H347" s="8" t="s">
        <v>627</v>
      </c>
      <c r="I347" s="24" t="s">
        <v>976</v>
      </c>
      <c r="J347" s="39">
        <v>6479193</v>
      </c>
      <c r="K347" s="8">
        <f t="shared" si="214"/>
        <v>0</v>
      </c>
      <c r="L347" s="8">
        <f t="shared" si="215"/>
        <v>0</v>
      </c>
      <c r="M347" s="386">
        <f t="shared" si="230"/>
        <v>1166255</v>
      </c>
      <c r="N347" s="406">
        <f t="shared" si="217"/>
        <v>7645448</v>
      </c>
      <c r="O347" s="378">
        <f>J347*2%</f>
        <v>129583.86</v>
      </c>
      <c r="P347" s="385">
        <f>O347/J347</f>
        <v>0.02</v>
      </c>
      <c r="Q347" s="23">
        <f>5261105+2254759</f>
        <v>7515864</v>
      </c>
      <c r="R347" s="401" t="s">
        <v>997</v>
      </c>
      <c r="S347" s="6" t="s">
        <v>74</v>
      </c>
      <c r="T347" s="20" t="s">
        <v>147</v>
      </c>
      <c r="U347" s="66">
        <f>N347-O347-Q347+0</f>
        <v>0.13999999966472387</v>
      </c>
      <c r="V347" s="8"/>
      <c r="W347" s="400" t="s">
        <v>811</v>
      </c>
      <c r="X347" s="8"/>
      <c r="Y347" s="8"/>
      <c r="Z347" s="266">
        <v>5090297</v>
      </c>
      <c r="AA347" s="41">
        <v>846305</v>
      </c>
      <c r="AB347" s="41"/>
      <c r="AC347" s="41">
        <v>50800</v>
      </c>
      <c r="AD347" s="41">
        <v>183255</v>
      </c>
      <c r="AE347" s="236">
        <f t="shared" ref="AE347" si="235">SUM(Z347:AD347)</f>
        <v>6170657</v>
      </c>
      <c r="AF347" s="239">
        <f t="shared" si="234"/>
        <v>308536</v>
      </c>
      <c r="AG347" s="8"/>
      <c r="AH347" s="8"/>
      <c r="AI347" s="237" t="s">
        <v>1003</v>
      </c>
    </row>
    <row r="348" spans="1:35" ht="30" hidden="1" customHeight="1" x14ac:dyDescent="0.3">
      <c r="A348" s="3">
        <f t="shared" si="173"/>
        <v>347</v>
      </c>
      <c r="B348" s="381" t="s">
        <v>908</v>
      </c>
      <c r="C348" s="46">
        <v>46112</v>
      </c>
      <c r="D348" s="380" t="s">
        <v>70</v>
      </c>
      <c r="E348" s="376" t="s">
        <v>977</v>
      </c>
      <c r="F348" s="20" t="s">
        <v>978</v>
      </c>
      <c r="G348" s="261">
        <v>24</v>
      </c>
      <c r="H348" s="24" t="s">
        <v>979</v>
      </c>
      <c r="I348" s="24" t="s">
        <v>986</v>
      </c>
      <c r="J348" s="39">
        <v>140583</v>
      </c>
      <c r="K348" s="8">
        <f t="shared" si="214"/>
        <v>0</v>
      </c>
      <c r="L348" s="8">
        <f t="shared" si="215"/>
        <v>0</v>
      </c>
      <c r="M348" s="386">
        <f t="shared" si="230"/>
        <v>25305</v>
      </c>
      <c r="N348" s="406">
        <f t="shared" si="217"/>
        <v>165888</v>
      </c>
      <c r="O348" s="49">
        <f>N348-Q348</f>
        <v>2812</v>
      </c>
      <c r="P348" s="385">
        <f>O348/J348</f>
        <v>2.000241850010314E-2</v>
      </c>
      <c r="Q348" s="41">
        <v>163076</v>
      </c>
      <c r="R348" s="377">
        <v>46116</v>
      </c>
      <c r="S348" s="8" t="s">
        <v>74</v>
      </c>
      <c r="T348" s="20" t="s">
        <v>96</v>
      </c>
      <c r="U348" s="66">
        <f t="shared" si="221"/>
        <v>0</v>
      </c>
      <c r="V348" s="8"/>
      <c r="W348" s="7" t="str">
        <f t="shared" si="222"/>
        <v>No Due</v>
      </c>
      <c r="X348" s="8"/>
      <c r="Y348" s="8"/>
      <c r="Z348" s="386">
        <v>105148</v>
      </c>
      <c r="AA348" s="386">
        <v>25874</v>
      </c>
      <c r="AB348" s="386">
        <v>602.92750000000001</v>
      </c>
      <c r="AC348" s="386">
        <v>1000</v>
      </c>
      <c r="AD348" s="386"/>
      <c r="AE348" s="386">
        <f t="shared" ref="AE348:AE353" si="236">SUBTOTAL(9,Z348:AD348)</f>
        <v>0</v>
      </c>
      <c r="AF348" s="49">
        <f t="shared" si="234"/>
        <v>140583</v>
      </c>
      <c r="AG348" s="8"/>
      <c r="AH348" s="8"/>
      <c r="AI348" s="8"/>
    </row>
    <row r="349" spans="1:35" ht="30" hidden="1" customHeight="1" x14ac:dyDescent="0.3">
      <c r="A349" s="3">
        <f t="shared" si="173"/>
        <v>348</v>
      </c>
      <c r="B349" s="381" t="s">
        <v>908</v>
      </c>
      <c r="C349" s="46">
        <v>46112</v>
      </c>
      <c r="D349" s="384" t="s">
        <v>70</v>
      </c>
      <c r="E349" s="376" t="s">
        <v>980</v>
      </c>
      <c r="F349" s="19" t="s">
        <v>824</v>
      </c>
      <c r="G349" s="261">
        <v>24</v>
      </c>
      <c r="H349" s="8" t="s">
        <v>810</v>
      </c>
      <c r="I349" s="24" t="s">
        <v>983</v>
      </c>
      <c r="J349" s="39">
        <v>283170</v>
      </c>
      <c r="K349" s="8">
        <f t="shared" si="214"/>
        <v>0</v>
      </c>
      <c r="L349" s="8">
        <f t="shared" si="215"/>
        <v>0</v>
      </c>
      <c r="M349" s="8">
        <f t="shared" si="230"/>
        <v>50971</v>
      </c>
      <c r="N349" s="406">
        <f t="shared" si="217"/>
        <v>334141</v>
      </c>
      <c r="O349" s="386">
        <f>J349*2%</f>
        <v>5663.4000000000005</v>
      </c>
      <c r="P349" s="9">
        <f t="shared" ref="P349:P353" si="237">O349/J349</f>
        <v>0.02</v>
      </c>
      <c r="Q349" s="8"/>
      <c r="R349" s="8"/>
      <c r="S349" s="8"/>
      <c r="T349" s="20"/>
      <c r="U349" s="66">
        <f t="shared" si="221"/>
        <v>328477.59999999998</v>
      </c>
      <c r="V349" s="8"/>
      <c r="W349" s="7" t="str">
        <f t="shared" si="222"/>
        <v>Outstanding</v>
      </c>
      <c r="X349" s="8"/>
      <c r="Y349" s="8"/>
      <c r="Z349" s="266">
        <v>233927</v>
      </c>
      <c r="AA349" s="41">
        <v>32263</v>
      </c>
      <c r="AB349" s="41"/>
      <c r="AC349" s="41">
        <v>1800</v>
      </c>
      <c r="AD349" s="8"/>
      <c r="AE349" s="236">
        <f t="shared" si="236"/>
        <v>0</v>
      </c>
      <c r="AF349" s="239">
        <f t="shared" si="234"/>
        <v>283170</v>
      </c>
      <c r="AG349" s="8"/>
      <c r="AH349" s="8"/>
      <c r="AI349" s="8"/>
    </row>
    <row r="350" spans="1:35" ht="30" hidden="1" customHeight="1" x14ac:dyDescent="0.3">
      <c r="A350" s="3">
        <f t="shared" si="173"/>
        <v>349</v>
      </c>
      <c r="B350" s="381" t="s">
        <v>908</v>
      </c>
      <c r="C350" s="46">
        <v>46112</v>
      </c>
      <c r="D350" s="384" t="s">
        <v>70</v>
      </c>
      <c r="E350" s="376" t="s">
        <v>981</v>
      </c>
      <c r="F350" s="19" t="s">
        <v>824</v>
      </c>
      <c r="G350" s="261">
        <v>24</v>
      </c>
      <c r="H350" s="8" t="s">
        <v>810</v>
      </c>
      <c r="I350" s="24" t="s">
        <v>984</v>
      </c>
      <c r="J350" s="39">
        <v>54110</v>
      </c>
      <c r="K350" s="8">
        <f t="shared" ref="K350:K353" si="238">ROUND(IF(G350=36,J350*9%,0),0)</f>
        <v>0</v>
      </c>
      <c r="L350" s="8">
        <f t="shared" ref="L350:L353" si="239">ROUND(IF(G350=36,J350*9%,0),0)</f>
        <v>0</v>
      </c>
      <c r="M350" s="8">
        <f t="shared" ref="M350:M353" si="240">ROUND(IF(G350=36,J350*0%,J350*18%),0)</f>
        <v>9740</v>
      </c>
      <c r="N350" s="406">
        <f t="shared" ref="N350:N353" si="241">J350+K350+L350+M350</f>
        <v>63850</v>
      </c>
      <c r="O350" s="386">
        <f>J350*2%</f>
        <v>1082.2</v>
      </c>
      <c r="P350" s="9">
        <f t="shared" si="237"/>
        <v>0.02</v>
      </c>
      <c r="Q350" s="378">
        <f>N350-O350</f>
        <v>62767.8</v>
      </c>
      <c r="R350" s="67">
        <v>46164</v>
      </c>
      <c r="S350" s="8" t="s">
        <v>74</v>
      </c>
      <c r="T350" s="20" t="s">
        <v>992</v>
      </c>
      <c r="U350" s="66">
        <f t="shared" si="221"/>
        <v>0</v>
      </c>
      <c r="V350" s="8"/>
      <c r="W350" s="7" t="str">
        <f t="shared" si="222"/>
        <v>No Due</v>
      </c>
      <c r="X350" s="8"/>
      <c r="Y350" s="8"/>
      <c r="Z350" s="266">
        <v>41490</v>
      </c>
      <c r="AA350" s="41">
        <v>6900</v>
      </c>
      <c r="AB350" s="41"/>
      <c r="AC350" s="41">
        <v>200</v>
      </c>
      <c r="AD350" s="8"/>
      <c r="AE350" s="236">
        <f t="shared" si="236"/>
        <v>0</v>
      </c>
      <c r="AF350" s="239">
        <f t="shared" si="234"/>
        <v>54110</v>
      </c>
      <c r="AG350" s="8"/>
      <c r="AH350" s="8"/>
      <c r="AI350" s="8"/>
    </row>
    <row r="351" spans="1:35" ht="30" hidden="1" customHeight="1" x14ac:dyDescent="0.3">
      <c r="A351" s="3">
        <f t="shared" si="173"/>
        <v>350</v>
      </c>
      <c r="B351" s="381" t="s">
        <v>908</v>
      </c>
      <c r="C351" s="46">
        <v>46112</v>
      </c>
      <c r="D351" s="384" t="s">
        <v>70</v>
      </c>
      <c r="E351" s="376" t="s">
        <v>982</v>
      </c>
      <c r="F351" s="19" t="s">
        <v>824</v>
      </c>
      <c r="G351" s="261">
        <v>24</v>
      </c>
      <c r="H351" s="8" t="s">
        <v>810</v>
      </c>
      <c r="I351" s="24" t="s">
        <v>985</v>
      </c>
      <c r="J351" s="39">
        <v>75199</v>
      </c>
      <c r="K351" s="8">
        <f t="shared" si="238"/>
        <v>0</v>
      </c>
      <c r="L351" s="8">
        <f t="shared" si="239"/>
        <v>0</v>
      </c>
      <c r="M351" s="8">
        <f t="shared" si="240"/>
        <v>13536</v>
      </c>
      <c r="N351" s="406">
        <f t="shared" si="241"/>
        <v>88735</v>
      </c>
      <c r="O351" s="386">
        <f>J351*2%</f>
        <v>1503.98</v>
      </c>
      <c r="P351" s="9">
        <f t="shared" si="237"/>
        <v>0.02</v>
      </c>
      <c r="Q351" s="378">
        <f>N351-O351</f>
        <v>87231.02</v>
      </c>
      <c r="R351" s="67">
        <v>46164</v>
      </c>
      <c r="S351" s="8" t="s">
        <v>74</v>
      </c>
      <c r="T351" s="20" t="s">
        <v>992</v>
      </c>
      <c r="U351" s="66">
        <f t="shared" si="221"/>
        <v>0</v>
      </c>
      <c r="V351" s="8"/>
      <c r="W351" s="7" t="str">
        <f t="shared" si="222"/>
        <v>No Due</v>
      </c>
      <c r="X351" s="8"/>
      <c r="Y351" s="8"/>
      <c r="Z351" s="266">
        <v>61797</v>
      </c>
      <c r="AA351" s="41">
        <v>8862</v>
      </c>
      <c r="AB351" s="41"/>
      <c r="AC351" s="41">
        <v>400</v>
      </c>
      <c r="AD351" s="8"/>
      <c r="AE351" s="236">
        <f t="shared" si="236"/>
        <v>0</v>
      </c>
      <c r="AF351" s="239">
        <f t="shared" si="234"/>
        <v>75199</v>
      </c>
      <c r="AG351" s="8"/>
      <c r="AH351" s="8"/>
      <c r="AI351" s="8"/>
    </row>
    <row r="352" spans="1:35" ht="30" hidden="1" customHeight="1" x14ac:dyDescent="0.3">
      <c r="A352" s="3">
        <f t="shared" si="173"/>
        <v>351</v>
      </c>
      <c r="B352" s="381" t="s">
        <v>908</v>
      </c>
      <c r="C352" s="46">
        <v>46112</v>
      </c>
      <c r="D352" s="384" t="s">
        <v>70</v>
      </c>
      <c r="E352" s="376" t="s">
        <v>987</v>
      </c>
      <c r="F352" s="19" t="s">
        <v>988</v>
      </c>
      <c r="G352" s="261">
        <v>24</v>
      </c>
      <c r="H352" s="8" t="s">
        <v>810</v>
      </c>
      <c r="I352" s="24" t="s">
        <v>994</v>
      </c>
      <c r="J352" s="39">
        <v>478754</v>
      </c>
      <c r="K352" s="8">
        <f t="shared" si="238"/>
        <v>0</v>
      </c>
      <c r="L352" s="8">
        <f t="shared" si="239"/>
        <v>0</v>
      </c>
      <c r="M352" s="8">
        <f t="shared" si="240"/>
        <v>86176</v>
      </c>
      <c r="N352" s="406">
        <f t="shared" si="241"/>
        <v>564930</v>
      </c>
      <c r="O352" s="378">
        <f>J352*2%</f>
        <v>9575.08</v>
      </c>
      <c r="P352" s="9">
        <f t="shared" si="237"/>
        <v>0.02</v>
      </c>
      <c r="Q352" s="8"/>
      <c r="R352" s="8"/>
      <c r="S352" s="8"/>
      <c r="T352" s="20"/>
      <c r="U352" s="66">
        <f t="shared" si="221"/>
        <v>555354.92000000004</v>
      </c>
      <c r="V352" s="8"/>
      <c r="W352" s="7" t="str">
        <f t="shared" si="222"/>
        <v>Outstanding</v>
      </c>
      <c r="X352" s="8"/>
      <c r="Y352" s="8"/>
      <c r="Z352" s="266">
        <v>366786</v>
      </c>
      <c r="AA352" s="41">
        <v>55184</v>
      </c>
      <c r="AB352" s="41"/>
      <c r="AC352" s="41">
        <v>4000</v>
      </c>
      <c r="AD352" s="8"/>
      <c r="AE352" s="236">
        <f t="shared" si="236"/>
        <v>0</v>
      </c>
      <c r="AF352" s="239">
        <f t="shared" si="234"/>
        <v>478754</v>
      </c>
      <c r="AG352" s="8"/>
      <c r="AH352" s="8"/>
      <c r="AI352" s="8"/>
    </row>
    <row r="353" spans="1:35" ht="30" hidden="1" customHeight="1" x14ac:dyDescent="0.3">
      <c r="A353" s="3">
        <f t="shared" si="173"/>
        <v>352</v>
      </c>
      <c r="B353" s="381" t="s">
        <v>908</v>
      </c>
      <c r="C353" s="46">
        <v>46112</v>
      </c>
      <c r="D353" s="384" t="s">
        <v>993</v>
      </c>
      <c r="E353" s="376" t="s">
        <v>989</v>
      </c>
      <c r="F353" s="19" t="s">
        <v>988</v>
      </c>
      <c r="G353" s="261">
        <v>24</v>
      </c>
      <c r="H353" s="8" t="s">
        <v>810</v>
      </c>
      <c r="I353" s="24" t="s">
        <v>990</v>
      </c>
      <c r="J353" s="39">
        <v>23709</v>
      </c>
      <c r="K353" s="8">
        <f t="shared" si="238"/>
        <v>0</v>
      </c>
      <c r="L353" s="8">
        <f t="shared" si="239"/>
        <v>0</v>
      </c>
      <c r="M353" s="8">
        <f t="shared" si="240"/>
        <v>4268</v>
      </c>
      <c r="N353" s="406">
        <f t="shared" si="241"/>
        <v>27977</v>
      </c>
      <c r="O353" s="378">
        <f>J353*2%</f>
        <v>474.18</v>
      </c>
      <c r="P353" s="9">
        <f t="shared" si="237"/>
        <v>0.02</v>
      </c>
      <c r="Q353" s="8"/>
      <c r="R353" s="8"/>
      <c r="S353" s="8"/>
      <c r="T353" s="20"/>
      <c r="U353" s="66">
        <f t="shared" si="221"/>
        <v>27502.82</v>
      </c>
      <c r="V353" s="8"/>
      <c r="W353" s="7" t="str">
        <f t="shared" si="222"/>
        <v>Outstanding</v>
      </c>
      <c r="X353" s="8"/>
      <c r="Y353" s="8"/>
      <c r="Z353" s="266"/>
      <c r="AA353" s="41"/>
      <c r="AB353" s="8"/>
      <c r="AC353" s="41"/>
      <c r="AD353" s="8">
        <v>23709</v>
      </c>
      <c r="AE353" s="236">
        <f t="shared" si="236"/>
        <v>0</v>
      </c>
      <c r="AF353" s="239">
        <f t="shared" si="234"/>
        <v>23709</v>
      </c>
      <c r="AG353" s="8"/>
      <c r="AH353" s="8"/>
      <c r="AI353" s="8"/>
    </row>
    <row r="354" spans="1:35" ht="30" hidden="1" customHeight="1" x14ac:dyDescent="0.3">
      <c r="A354" s="3">
        <f t="shared" si="173"/>
        <v>353</v>
      </c>
      <c r="B354" s="381"/>
      <c r="C354" s="19"/>
      <c r="D354" s="19"/>
      <c r="E354" s="376"/>
      <c r="F354" s="20"/>
      <c r="G354" s="20"/>
      <c r="H354" s="8"/>
      <c r="I354" s="8"/>
      <c r="J354" s="404">
        <f>SUBTOTAL(9,J2:J353)</f>
        <v>7639821.8838749994</v>
      </c>
      <c r="K354" s="404">
        <f t="shared" ref="K354:Q354" si="242">SUBTOTAL(9,K2:K353)</f>
        <v>687581</v>
      </c>
      <c r="L354" s="404">
        <f t="shared" si="242"/>
        <v>687581</v>
      </c>
      <c r="M354" s="404">
        <f t="shared" si="242"/>
        <v>0</v>
      </c>
      <c r="N354" s="409">
        <f t="shared" si="242"/>
        <v>9014983.8838750012</v>
      </c>
      <c r="O354" s="404">
        <f t="shared" si="242"/>
        <v>38671.189009687478</v>
      </c>
      <c r="P354" s="404">
        <f t="shared" si="242"/>
        <v>0.24304318502831701</v>
      </c>
      <c r="Q354" s="404">
        <f t="shared" si="242"/>
        <v>8976312.1962403134</v>
      </c>
      <c r="R354" s="8"/>
      <c r="S354" s="8"/>
      <c r="T354" s="20"/>
      <c r="U354" s="369"/>
      <c r="V354" s="8"/>
      <c r="W354" s="367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</row>
    <row r="355" spans="1:35" ht="30" hidden="1" customHeight="1" x14ac:dyDescent="0.3">
      <c r="A355" s="3">
        <f t="shared" si="173"/>
        <v>354</v>
      </c>
      <c r="B355" s="381"/>
      <c r="C355" s="19"/>
      <c r="D355" s="19"/>
      <c r="E355" s="376"/>
      <c r="F355" s="20"/>
      <c r="G355" s="20"/>
      <c r="H355" s="8"/>
      <c r="I355" s="8"/>
      <c r="J355" s="378"/>
      <c r="K355" s="8"/>
      <c r="L355" s="8"/>
      <c r="M355" s="8"/>
      <c r="N355" s="410"/>
      <c r="O355" s="8"/>
      <c r="P355" s="8"/>
      <c r="Q355" s="8"/>
      <c r="R355" s="8"/>
      <c r="S355" s="8"/>
      <c r="T355" s="20"/>
      <c r="U355" s="369"/>
      <c r="V355" s="8"/>
      <c r="W355" s="367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</row>
    <row r="356" spans="1:35" ht="30" hidden="1" customHeight="1" x14ac:dyDescent="0.3">
      <c r="A356" s="3">
        <f t="shared" si="173"/>
        <v>355</v>
      </c>
      <c r="B356" s="381"/>
      <c r="C356" s="19"/>
      <c r="D356" s="19"/>
      <c r="E356" s="376"/>
      <c r="F356" s="20"/>
      <c r="G356" s="20"/>
      <c r="H356" s="8"/>
      <c r="I356" s="8"/>
      <c r="J356" s="378"/>
      <c r="K356" s="8"/>
      <c r="L356" s="8"/>
      <c r="M356" s="8"/>
      <c r="N356" s="410"/>
      <c r="O356" s="8"/>
      <c r="P356" s="8"/>
      <c r="Q356" s="8"/>
      <c r="R356" s="8"/>
      <c r="S356" s="8"/>
      <c r="T356" s="20"/>
      <c r="U356" s="369"/>
      <c r="V356" s="8"/>
      <c r="W356" s="367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</row>
    <row r="357" spans="1:35" ht="30" hidden="1" customHeight="1" x14ac:dyDescent="0.3">
      <c r="A357" s="3">
        <f t="shared" si="173"/>
        <v>356</v>
      </c>
      <c r="B357" s="381"/>
      <c r="C357" s="19"/>
      <c r="D357" s="19"/>
      <c r="E357" s="376"/>
      <c r="F357" s="20"/>
      <c r="G357" s="20"/>
      <c r="H357" s="8"/>
      <c r="I357" s="8"/>
      <c r="J357" s="378"/>
      <c r="K357" s="8"/>
      <c r="L357" s="8"/>
      <c r="M357" s="8"/>
      <c r="N357" s="410"/>
      <c r="O357" s="8"/>
      <c r="P357" s="8"/>
      <c r="Q357" s="8"/>
      <c r="R357" s="8"/>
      <c r="S357" s="8"/>
      <c r="T357" s="20"/>
      <c r="U357" s="369"/>
      <c r="V357" s="8"/>
      <c r="W357" s="367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</row>
    <row r="358" spans="1:35" ht="30" hidden="1" customHeight="1" x14ac:dyDescent="0.3">
      <c r="A358" s="3">
        <f t="shared" si="173"/>
        <v>357</v>
      </c>
      <c r="B358" s="381"/>
      <c r="C358" s="19"/>
      <c r="D358" s="19"/>
      <c r="E358" s="376"/>
      <c r="F358" s="20"/>
      <c r="G358" s="20"/>
      <c r="H358" s="8"/>
      <c r="I358" s="8"/>
      <c r="J358" s="378"/>
      <c r="K358" s="8"/>
      <c r="L358" s="8"/>
      <c r="M358" s="8"/>
      <c r="N358" s="410"/>
      <c r="O358" s="8"/>
      <c r="P358" s="8"/>
      <c r="Q358" s="8"/>
      <c r="R358" s="8"/>
      <c r="S358" s="8"/>
      <c r="T358" s="20"/>
      <c r="U358" s="369"/>
      <c r="V358" s="8"/>
      <c r="W358" s="367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</row>
    <row r="359" spans="1:35" ht="30" hidden="1" customHeight="1" x14ac:dyDescent="0.3">
      <c r="A359" s="19"/>
      <c r="B359" s="19"/>
      <c r="C359" s="19"/>
      <c r="D359" s="19"/>
      <c r="E359" s="19"/>
      <c r="F359" s="20"/>
      <c r="G359" s="20"/>
      <c r="H359" s="8"/>
      <c r="I359" s="8"/>
      <c r="J359" s="23">
        <f>SUM(J2:J358)</f>
        <v>795507252.49522305</v>
      </c>
      <c r="K359" s="23">
        <f t="shared" ref="K359:T359" si="243">SUM(K2:K358)</f>
        <v>34042805</v>
      </c>
      <c r="L359" s="23">
        <f t="shared" si="243"/>
        <v>34042805</v>
      </c>
      <c r="M359" s="23">
        <f t="shared" si="243"/>
        <v>74960469</v>
      </c>
      <c r="N359" s="411">
        <f t="shared" si="243"/>
        <v>938553331.49522293</v>
      </c>
      <c r="O359" s="23">
        <f t="shared" si="243"/>
        <v>7910918.2554924954</v>
      </c>
      <c r="P359" s="23"/>
      <c r="Q359" s="23">
        <f t="shared" si="243"/>
        <v>929725995.8999809</v>
      </c>
      <c r="R359" s="23">
        <f t="shared" si="243"/>
        <v>12908308</v>
      </c>
      <c r="S359" s="23">
        <f t="shared" si="243"/>
        <v>0</v>
      </c>
      <c r="T359" s="23">
        <f t="shared" si="243"/>
        <v>0</v>
      </c>
      <c r="U359" s="23">
        <f>SUM(U2:U358)</f>
        <v>916400.22612500412</v>
      </c>
      <c r="V359" s="23">
        <f t="shared" ref="V359:X359" si="244">SUM(V2:V267)</f>
        <v>0</v>
      </c>
      <c r="W359" s="23">
        <f t="shared" si="244"/>
        <v>0</v>
      </c>
      <c r="X359" s="23">
        <f t="shared" si="244"/>
        <v>0</v>
      </c>
      <c r="Y359" s="8"/>
      <c r="Z359" s="23">
        <f>SUM(Z2:Z358)</f>
        <v>662056586.46826923</v>
      </c>
      <c r="AA359" s="23">
        <f t="shared" ref="AA359:AH359" si="245">SUM(AA2:AA358)</f>
        <v>76198423.25</v>
      </c>
      <c r="AB359" s="23">
        <f t="shared" si="245"/>
        <v>1203485.0075000001</v>
      </c>
      <c r="AC359" s="23">
        <f t="shared" si="245"/>
        <v>3731375</v>
      </c>
      <c r="AD359" s="23">
        <f t="shared" si="245"/>
        <v>5111460</v>
      </c>
      <c r="AE359" s="23">
        <f t="shared" si="245"/>
        <v>743551409.79826927</v>
      </c>
      <c r="AF359" s="23">
        <f t="shared" si="245"/>
        <v>36008015.003078885</v>
      </c>
      <c r="AG359" s="23">
        <f t="shared" si="245"/>
        <v>25326479.793078884</v>
      </c>
      <c r="AH359" s="23">
        <f t="shared" si="245"/>
        <v>1173528</v>
      </c>
      <c r="AI359" s="23"/>
    </row>
    <row r="360" spans="1:35" ht="30" hidden="1" customHeight="1" x14ac:dyDescent="0.3">
      <c r="J360" s="27">
        <f>J318*0.5%</f>
        <v>96.36</v>
      </c>
    </row>
    <row r="361" spans="1:35" ht="30" hidden="1" customHeight="1" x14ac:dyDescent="0.3">
      <c r="J361" s="26">
        <f>SUBTOTAL(9,J221:J243)</f>
        <v>834258.99</v>
      </c>
      <c r="M361" s="26">
        <f>M185+M210+M228</f>
        <v>1295326</v>
      </c>
      <c r="N361" s="413">
        <f>N185+N210+N228</f>
        <v>8491578</v>
      </c>
      <c r="O361" s="26">
        <f>N361-Q361</f>
        <v>144025</v>
      </c>
      <c r="P361" s="372">
        <f>O361/J361</f>
        <v>0.17263823551964361</v>
      </c>
      <c r="Q361" s="26">
        <v>8347553</v>
      </c>
      <c r="R361" s="26">
        <f>Q185+Q210+Q228</f>
        <v>8347553</v>
      </c>
    </row>
    <row r="362" spans="1:35" ht="30" hidden="1" customHeight="1" x14ac:dyDescent="0.3">
      <c r="F362" s="395">
        <v>75</v>
      </c>
    </row>
    <row r="363" spans="1:35" ht="30" hidden="1" customHeight="1" x14ac:dyDescent="0.3">
      <c r="F363" s="13">
        <v>100</v>
      </c>
      <c r="P363" s="11">
        <f>32199</f>
        <v>32199</v>
      </c>
    </row>
    <row r="364" spans="1:35" ht="30" hidden="1" customHeight="1" x14ac:dyDescent="0.3">
      <c r="F364" s="395">
        <f>F363-F362</f>
        <v>25</v>
      </c>
      <c r="P364" s="11">
        <v>2385</v>
      </c>
    </row>
    <row r="365" spans="1:35" ht="30" hidden="1" customHeight="1" x14ac:dyDescent="0.3">
      <c r="F365" s="13">
        <f>6</f>
        <v>6</v>
      </c>
    </row>
    <row r="366" spans="1:35" ht="30" hidden="1" customHeight="1" x14ac:dyDescent="0.3">
      <c r="F366" s="395">
        <f>F364-F365</f>
        <v>19</v>
      </c>
    </row>
    <row r="367" spans="1:35" ht="30" hidden="1" customHeight="1" x14ac:dyDescent="0.3">
      <c r="F367" s="13">
        <v>2</v>
      </c>
    </row>
    <row r="368" spans="1:35" ht="30" hidden="1" customHeight="1" x14ac:dyDescent="0.3">
      <c r="I368" s="11" t="s">
        <v>973</v>
      </c>
      <c r="J368" s="26">
        <f>J315/297</f>
        <v>18794.75420875421</v>
      </c>
    </row>
    <row r="369" spans="3:31" ht="30" hidden="1" customHeight="1" x14ac:dyDescent="0.3">
      <c r="I369" s="27">
        <f>J368*355</f>
        <v>6672137.7441077447</v>
      </c>
    </row>
    <row r="370" spans="3:31" ht="30" customHeight="1" x14ac:dyDescent="0.3">
      <c r="N370" s="413"/>
      <c r="O370" s="26"/>
      <c r="Q370" s="26"/>
      <c r="AE370" s="26"/>
    </row>
    <row r="371" spans="3:31" ht="30" customHeight="1" x14ac:dyDescent="0.3">
      <c r="C371" s="46">
        <v>46140</v>
      </c>
      <c r="D371" s="398"/>
      <c r="N371" s="413">
        <v>44248788</v>
      </c>
      <c r="O371" s="26"/>
      <c r="P371" s="26"/>
      <c r="Q371" s="26">
        <f>Q370-AE370</f>
        <v>0</v>
      </c>
      <c r="AE371" s="26"/>
    </row>
    <row r="372" spans="3:31" ht="30" customHeight="1" x14ac:dyDescent="0.3">
      <c r="N372" s="412">
        <v>44255678</v>
      </c>
    </row>
    <row r="373" spans="3:31" ht="30" customHeight="1" x14ac:dyDescent="0.3">
      <c r="N373" s="413">
        <f>N372-N371</f>
        <v>6890</v>
      </c>
    </row>
    <row r="388" spans="7:7" ht="30" customHeight="1" x14ac:dyDescent="0.3">
      <c r="G388" s="13">
        <v>4653</v>
      </c>
    </row>
    <row r="389" spans="7:7" ht="30" customHeight="1" x14ac:dyDescent="0.3">
      <c r="G389" s="13">
        <v>186117</v>
      </c>
    </row>
    <row r="390" spans="7:7" ht="30" customHeight="1" x14ac:dyDescent="0.3">
      <c r="G390" s="13">
        <f>G389-G388</f>
        <v>181464</v>
      </c>
    </row>
    <row r="1048576" spans="3:19" ht="30" customHeight="1" x14ac:dyDescent="0.3">
      <c r="C1048576" s="46"/>
      <c r="S1048576" s="8"/>
    </row>
  </sheetData>
  <autoFilter ref="A1:AI369" xr:uid="{00000000-0001-0000-0000-000000000000}">
    <filterColumn colId="7">
      <filters>
        <filter val="RENEWSYS INDIA PRIVATE LIMITED"/>
      </filters>
    </filterColumn>
    <sortState xmlns:xlrd2="http://schemas.microsoft.com/office/spreadsheetml/2017/richdata2" ref="A7:AI209">
      <sortCondition descending="1" ref="H1:H369"/>
    </sortState>
  </autoFilter>
  <sortState xmlns:xlrd2="http://schemas.microsoft.com/office/spreadsheetml/2017/richdata2" ref="Y2:Y25">
    <sortCondition ref="Y2:Y25"/>
  </sortState>
  <dataConsolidate link="1"/>
  <phoneticPr fontId="147" type="noConversion"/>
  <conditionalFormatting sqref="E1:E358">
    <cfRule type="duplicateValues" dxfId="3153" priority="18536"/>
  </conditionalFormatting>
  <conditionalFormatting sqref="E2:E3">
    <cfRule type="duplicateValues" dxfId="3152" priority="10591"/>
    <cfRule type="duplicateValues" dxfId="3151" priority="12600"/>
    <cfRule type="duplicateValues" dxfId="3150" priority="12599"/>
  </conditionalFormatting>
  <conditionalFormatting sqref="E40 E29:E33 E35:E36 E38 E44 E42 E46">
    <cfRule type="duplicateValues" dxfId="3149" priority="16286"/>
    <cfRule type="duplicateValues" dxfId="3148" priority="16290"/>
    <cfRule type="duplicateValues" dxfId="3147" priority="16289"/>
    <cfRule type="duplicateValues" dxfId="3146" priority="16288"/>
    <cfRule type="duplicateValues" dxfId="3145" priority="16287"/>
  </conditionalFormatting>
  <conditionalFormatting sqref="E52">
    <cfRule type="duplicateValues" dxfId="3144" priority="238"/>
    <cfRule type="duplicateValues" dxfId="3143" priority="242"/>
    <cfRule type="duplicateValues" dxfId="3142" priority="241"/>
    <cfRule type="duplicateValues" dxfId="3141" priority="240"/>
    <cfRule type="duplicateValues" dxfId="3140" priority="239"/>
  </conditionalFormatting>
  <conditionalFormatting sqref="E55 E49 E52 E58:E62">
    <cfRule type="duplicateValues" dxfId="3139" priority="16401"/>
    <cfRule type="duplicateValues" dxfId="3138" priority="16403"/>
    <cfRule type="duplicateValues" dxfId="3137" priority="16402"/>
    <cfRule type="duplicateValues" dxfId="3136" priority="16400"/>
    <cfRule type="duplicateValues" dxfId="3135" priority="16399"/>
  </conditionalFormatting>
  <conditionalFormatting sqref="E56 E54 E58:E62">
    <cfRule type="duplicateValues" dxfId="3134" priority="16420"/>
    <cfRule type="duplicateValues" dxfId="3133" priority="16423"/>
    <cfRule type="duplicateValues" dxfId="3132" priority="16422"/>
    <cfRule type="duplicateValues" dxfId="3131" priority="16419"/>
    <cfRule type="duplicateValues" dxfId="3130" priority="16421"/>
  </conditionalFormatting>
  <conditionalFormatting sqref="E59:E62">
    <cfRule type="duplicateValues" dxfId="3129" priority="16434"/>
    <cfRule type="duplicateValues" dxfId="3128" priority="16436"/>
    <cfRule type="duplicateValues" dxfId="3127" priority="16435"/>
    <cfRule type="duplicateValues" dxfId="3126" priority="16437"/>
    <cfRule type="duplicateValues" dxfId="3125" priority="16438"/>
  </conditionalFormatting>
  <conditionalFormatting sqref="E62 E59">
    <cfRule type="duplicateValues" dxfId="3124" priority="16441"/>
    <cfRule type="duplicateValues" dxfId="3123" priority="16443"/>
    <cfRule type="duplicateValues" dxfId="3122" priority="16442"/>
    <cfRule type="duplicateValues" dxfId="3121" priority="16440"/>
    <cfRule type="duplicateValues" dxfId="3120" priority="16439"/>
  </conditionalFormatting>
  <conditionalFormatting sqref="E71:E72">
    <cfRule type="duplicateValues" dxfId="3119" priority="237"/>
    <cfRule type="duplicateValues" dxfId="3118" priority="236"/>
    <cfRule type="duplicateValues" dxfId="3117" priority="235"/>
    <cfRule type="duplicateValues" dxfId="3116" priority="234"/>
    <cfRule type="duplicateValues" dxfId="3115" priority="233"/>
  </conditionalFormatting>
  <conditionalFormatting sqref="E73:E74">
    <cfRule type="duplicateValues" dxfId="3114" priority="228"/>
    <cfRule type="duplicateValues" dxfId="3113" priority="229"/>
    <cfRule type="duplicateValues" dxfId="3112" priority="231"/>
    <cfRule type="duplicateValues" dxfId="3111" priority="232"/>
    <cfRule type="duplicateValues" dxfId="3110" priority="230"/>
  </conditionalFormatting>
  <conditionalFormatting sqref="E80 E84 E82 E86">
    <cfRule type="duplicateValues" dxfId="3109" priority="226"/>
    <cfRule type="duplicateValues" dxfId="3108" priority="223"/>
    <cfRule type="duplicateValues" dxfId="3107" priority="224"/>
    <cfRule type="duplicateValues" dxfId="3106" priority="225"/>
    <cfRule type="duplicateValues" dxfId="3105" priority="227"/>
  </conditionalFormatting>
  <conditionalFormatting sqref="E90 E88">
    <cfRule type="duplicateValues" dxfId="3104" priority="222"/>
    <cfRule type="duplicateValues" dxfId="3103" priority="221"/>
    <cfRule type="duplicateValues" dxfId="3102" priority="219"/>
    <cfRule type="duplicateValues" dxfId="3101" priority="218"/>
    <cfRule type="duplicateValues" dxfId="3100" priority="220"/>
  </conditionalFormatting>
  <conditionalFormatting sqref="E91:E92">
    <cfRule type="duplicateValues" dxfId="3099" priority="217"/>
    <cfRule type="duplicateValues" dxfId="3098" priority="216"/>
    <cfRule type="duplicateValues" dxfId="3097" priority="215"/>
    <cfRule type="duplicateValues" dxfId="3096" priority="213"/>
    <cfRule type="duplicateValues" dxfId="3095" priority="214"/>
  </conditionalFormatting>
  <conditionalFormatting sqref="E118:E120">
    <cfRule type="duplicateValues" dxfId="3094" priority="16837"/>
    <cfRule type="duplicateValues" dxfId="3093" priority="16836"/>
    <cfRule type="duplicateValues" dxfId="3092" priority="16824"/>
    <cfRule type="duplicateValues" dxfId="3091" priority="16825"/>
    <cfRule type="duplicateValues" dxfId="3090" priority="16826"/>
    <cfRule type="duplicateValues" dxfId="3089" priority="16827"/>
    <cfRule type="duplicateValues" dxfId="3088" priority="16828"/>
    <cfRule type="duplicateValues" dxfId="3087" priority="16829"/>
    <cfRule type="duplicateValues" dxfId="3086" priority="16830"/>
    <cfRule type="duplicateValues" dxfId="3085" priority="16831"/>
    <cfRule type="duplicateValues" dxfId="3084" priority="16834"/>
    <cfRule type="duplicateValues" dxfId="3083" priority="16833"/>
    <cfRule type="duplicateValues" dxfId="3082" priority="16832"/>
    <cfRule type="duplicateValues" dxfId="3081" priority="16840"/>
    <cfRule type="duplicateValues" dxfId="3080" priority="16843"/>
    <cfRule type="duplicateValues" dxfId="3079" priority="16842"/>
    <cfRule type="duplicateValues" dxfId="3078" priority="16841"/>
    <cfRule type="duplicateValues" dxfId="3077" priority="16835"/>
    <cfRule type="duplicateValues" dxfId="3076" priority="16839"/>
    <cfRule type="duplicateValues" dxfId="3075" priority="16838"/>
  </conditionalFormatting>
  <conditionalFormatting sqref="E124">
    <cfRule type="duplicateValues" dxfId="3074" priority="16860"/>
    <cfRule type="duplicateValues" dxfId="3073" priority="16861"/>
    <cfRule type="duplicateValues" dxfId="3072" priority="16859"/>
    <cfRule type="duplicateValues" dxfId="3071" priority="16857"/>
    <cfRule type="duplicateValues" dxfId="3070" priority="16858"/>
  </conditionalFormatting>
  <conditionalFormatting sqref="E125:E126">
    <cfRule type="duplicateValues" dxfId="3069" priority="16933"/>
    <cfRule type="duplicateValues" dxfId="3068" priority="16936"/>
    <cfRule type="duplicateValues" dxfId="3067" priority="16935"/>
    <cfRule type="duplicateValues" dxfId="3066" priority="16934"/>
    <cfRule type="duplicateValues" dxfId="3065" priority="16932"/>
  </conditionalFormatting>
  <conditionalFormatting sqref="E128">
    <cfRule type="duplicateValues" dxfId="3064" priority="134"/>
    <cfRule type="duplicateValues" dxfId="3063" priority="133"/>
    <cfRule type="duplicateValues" dxfId="3062" priority="122"/>
    <cfRule type="duplicateValues" dxfId="3061" priority="123"/>
    <cfRule type="duplicateValues" dxfId="3060" priority="124"/>
    <cfRule type="duplicateValues" dxfId="3059" priority="125"/>
    <cfRule type="duplicateValues" dxfId="3058" priority="126"/>
    <cfRule type="duplicateValues" dxfId="3057" priority="127"/>
    <cfRule type="duplicateValues" dxfId="3056" priority="129"/>
    <cfRule type="duplicateValues" dxfId="3055" priority="130"/>
    <cfRule type="duplicateValues" dxfId="3054" priority="131"/>
    <cfRule type="duplicateValues" dxfId="3053" priority="132"/>
    <cfRule type="duplicateValues" dxfId="3052" priority="121"/>
    <cfRule type="duplicateValues" dxfId="3051" priority="135"/>
    <cfRule type="duplicateValues" dxfId="3050" priority="128"/>
    <cfRule type="duplicateValues" dxfId="3049" priority="118"/>
    <cfRule type="duplicateValues" dxfId="3048" priority="119"/>
    <cfRule type="duplicateValues" dxfId="3047" priority="117"/>
    <cfRule type="duplicateValues" dxfId="3046" priority="120"/>
    <cfRule type="duplicateValues" dxfId="3045" priority="116"/>
  </conditionalFormatting>
  <conditionalFormatting sqref="E139:E142">
    <cfRule type="duplicateValues" dxfId="3044" priority="161"/>
    <cfRule type="duplicateValues" dxfId="3043" priority="165"/>
    <cfRule type="duplicateValues" dxfId="3042" priority="164"/>
    <cfRule type="duplicateValues" dxfId="3041" priority="163"/>
    <cfRule type="duplicateValues" dxfId="3040" priority="162"/>
  </conditionalFormatting>
  <conditionalFormatting sqref="E144:E145">
    <cfRule type="duplicateValues" dxfId="3039" priority="158"/>
    <cfRule type="duplicateValues" dxfId="3038" priority="159"/>
    <cfRule type="duplicateValues" dxfId="3037" priority="156"/>
    <cfRule type="duplicateValues" dxfId="3036" priority="157"/>
    <cfRule type="duplicateValues" dxfId="3035" priority="160"/>
  </conditionalFormatting>
  <conditionalFormatting sqref="E150">
    <cfRule type="duplicateValues" dxfId="3034" priority="137"/>
    <cfRule type="duplicateValues" dxfId="3033" priority="138"/>
    <cfRule type="duplicateValues" dxfId="3032" priority="139"/>
    <cfRule type="duplicateValues" dxfId="3031" priority="140"/>
    <cfRule type="duplicateValues" dxfId="3030" priority="141"/>
    <cfRule type="duplicateValues" dxfId="3029" priority="142"/>
    <cfRule type="duplicateValues" dxfId="3028" priority="143"/>
    <cfRule type="duplicateValues" dxfId="3027" priority="144"/>
    <cfRule type="duplicateValues" dxfId="3026" priority="145"/>
    <cfRule type="duplicateValues" dxfId="3025" priority="146"/>
    <cfRule type="duplicateValues" dxfId="3024" priority="147"/>
    <cfRule type="duplicateValues" dxfId="3023" priority="148"/>
    <cfRule type="duplicateValues" dxfId="3022" priority="149"/>
    <cfRule type="duplicateValues" dxfId="3021" priority="150"/>
    <cfRule type="duplicateValues" dxfId="3020" priority="151"/>
    <cfRule type="duplicateValues" dxfId="3019" priority="153"/>
    <cfRule type="duplicateValues" dxfId="3018" priority="154"/>
    <cfRule type="duplicateValues" dxfId="3017" priority="155"/>
    <cfRule type="duplicateValues" dxfId="3016" priority="152"/>
    <cfRule type="duplicateValues" dxfId="3015" priority="136"/>
  </conditionalFormatting>
  <conditionalFormatting sqref="E158:E159">
    <cfRule type="duplicateValues" dxfId="3014" priority="112"/>
    <cfRule type="duplicateValues" dxfId="3013" priority="113"/>
    <cfRule type="duplicateValues" dxfId="3012" priority="114"/>
    <cfRule type="duplicateValues" dxfId="3011" priority="115"/>
    <cfRule type="duplicateValues" dxfId="3010" priority="111"/>
  </conditionalFormatting>
  <conditionalFormatting sqref="E161:E162">
    <cfRule type="duplicateValues" dxfId="3009" priority="97"/>
    <cfRule type="duplicateValues" dxfId="3008" priority="96"/>
    <cfRule type="duplicateValues" dxfId="3007" priority="98"/>
    <cfRule type="duplicateValues" dxfId="3006" priority="99"/>
    <cfRule type="duplicateValues" dxfId="3005" priority="100"/>
  </conditionalFormatting>
  <conditionalFormatting sqref="E164">
    <cfRule type="duplicateValues" dxfId="3004" priority="104"/>
    <cfRule type="duplicateValues" dxfId="3003" priority="110"/>
    <cfRule type="duplicateValues" dxfId="3002" priority="109"/>
    <cfRule type="duplicateValues" dxfId="3001" priority="101"/>
    <cfRule type="duplicateValues" dxfId="3000" priority="102"/>
    <cfRule type="duplicateValues" dxfId="2999" priority="103"/>
    <cfRule type="duplicateValues" dxfId="2998" priority="105"/>
    <cfRule type="duplicateValues" dxfId="2997" priority="106"/>
    <cfRule type="duplicateValues" dxfId="2996" priority="107"/>
    <cfRule type="duplicateValues" dxfId="2995" priority="108"/>
  </conditionalFormatting>
  <conditionalFormatting sqref="E165:E166">
    <cfRule type="duplicateValues" dxfId="2994" priority="92"/>
    <cfRule type="duplicateValues" dxfId="2993" priority="91"/>
    <cfRule type="duplicateValues" dxfId="2992" priority="95"/>
    <cfRule type="duplicateValues" dxfId="2991" priority="93"/>
    <cfRule type="duplicateValues" dxfId="2990" priority="94"/>
  </conditionalFormatting>
  <conditionalFormatting sqref="E175:E176">
    <cfRule type="duplicateValues" dxfId="2989" priority="90"/>
    <cfRule type="duplicateValues" dxfId="2988" priority="89"/>
    <cfRule type="duplicateValues" dxfId="2987" priority="88"/>
    <cfRule type="duplicateValues" dxfId="2986" priority="87"/>
    <cfRule type="duplicateValues" dxfId="2985" priority="86"/>
  </conditionalFormatting>
  <conditionalFormatting sqref="E178:E180">
    <cfRule type="duplicateValues" dxfId="2984" priority="17693"/>
    <cfRule type="duplicateValues" dxfId="2983" priority="17694"/>
    <cfRule type="duplicateValues" dxfId="2982" priority="17695"/>
    <cfRule type="duplicateValues" dxfId="2981" priority="17696"/>
    <cfRule type="duplicateValues" dxfId="2980" priority="17697"/>
  </conditionalFormatting>
  <conditionalFormatting sqref="E181">
    <cfRule type="duplicateValues" dxfId="2979" priority="80"/>
    <cfRule type="duplicateValues" dxfId="2978" priority="71"/>
    <cfRule type="duplicateValues" dxfId="2977" priority="72"/>
    <cfRule type="duplicateValues" dxfId="2976" priority="73"/>
    <cfRule type="duplicateValues" dxfId="2975" priority="74"/>
    <cfRule type="duplicateValues" dxfId="2974" priority="75"/>
    <cfRule type="duplicateValues" dxfId="2973" priority="76"/>
    <cfRule type="duplicateValues" dxfId="2972" priority="77"/>
    <cfRule type="duplicateValues" dxfId="2971" priority="78"/>
    <cfRule type="duplicateValues" dxfId="2970" priority="79"/>
  </conditionalFormatting>
  <conditionalFormatting sqref="E188:E189">
    <cfRule type="duplicateValues" dxfId="2969" priority="66"/>
    <cfRule type="duplicateValues" dxfId="2968" priority="67"/>
    <cfRule type="duplicateValues" dxfId="2967" priority="68"/>
    <cfRule type="duplicateValues" dxfId="2966" priority="69"/>
    <cfRule type="duplicateValues" dxfId="2965" priority="70"/>
  </conditionalFormatting>
  <conditionalFormatting sqref="E202">
    <cfRule type="duplicateValues" dxfId="2964" priority="63"/>
    <cfRule type="duplicateValues" dxfId="2963" priority="64"/>
    <cfRule type="duplicateValues" dxfId="2962" priority="65"/>
    <cfRule type="duplicateValues" dxfId="2961" priority="61"/>
    <cfRule type="duplicateValues" dxfId="2960" priority="62"/>
  </conditionalFormatting>
  <conditionalFormatting sqref="E207:E208">
    <cfRule type="duplicateValues" dxfId="2959" priority="60"/>
    <cfRule type="duplicateValues" dxfId="2958" priority="59"/>
    <cfRule type="duplicateValues" dxfId="2957" priority="56"/>
    <cfRule type="duplicateValues" dxfId="2956" priority="57"/>
    <cfRule type="duplicateValues" dxfId="2955" priority="58"/>
  </conditionalFormatting>
  <conditionalFormatting sqref="E211:E213">
    <cfRule type="duplicateValues" dxfId="2954" priority="54"/>
    <cfRule type="duplicateValues" dxfId="2953" priority="53"/>
    <cfRule type="duplicateValues" dxfId="2952" priority="52"/>
    <cfRule type="duplicateValues" dxfId="2951" priority="55"/>
    <cfRule type="duplicateValues" dxfId="2950" priority="51"/>
    <cfRule type="duplicateValues" dxfId="2949" priority="50"/>
    <cfRule type="duplicateValues" dxfId="2948" priority="49"/>
    <cfRule type="duplicateValues" dxfId="2947" priority="48"/>
    <cfRule type="duplicateValues" dxfId="2946" priority="47"/>
    <cfRule type="duplicateValues" dxfId="2945" priority="46"/>
  </conditionalFormatting>
  <conditionalFormatting sqref="E212:E213 E4:E28 E31:E72 E75:E138 E143:E163 E167:E177 E182:E187 E189:E210 E215:E228 E230:E358">
    <cfRule type="duplicateValues" dxfId="2944" priority="18538"/>
    <cfRule type="duplicateValues" dxfId="2943" priority="18542"/>
    <cfRule type="duplicateValues" dxfId="2942" priority="18541"/>
    <cfRule type="duplicateValues" dxfId="2941" priority="18540"/>
    <cfRule type="duplicateValues" dxfId="2940" priority="18539"/>
  </conditionalFormatting>
  <conditionalFormatting sqref="E214">
    <cfRule type="duplicateValues" dxfId="2939" priority="45"/>
    <cfRule type="duplicateValues" dxfId="2938" priority="44"/>
    <cfRule type="duplicateValues" dxfId="2937" priority="43"/>
    <cfRule type="duplicateValues" dxfId="2936" priority="42"/>
    <cfRule type="duplicateValues" dxfId="2935" priority="41"/>
    <cfRule type="duplicateValues" dxfId="2934" priority="40"/>
    <cfRule type="duplicateValues" dxfId="2933" priority="39"/>
    <cfRule type="duplicateValues" dxfId="2932" priority="38"/>
    <cfRule type="duplicateValues" dxfId="2931" priority="37"/>
    <cfRule type="duplicateValues" dxfId="2930" priority="36"/>
  </conditionalFormatting>
  <conditionalFormatting sqref="E223">
    <cfRule type="duplicateValues" dxfId="2929" priority="35"/>
    <cfRule type="duplicateValues" dxfId="2928" priority="34"/>
    <cfRule type="duplicateValues" dxfId="2927" priority="33"/>
    <cfRule type="duplicateValues" dxfId="2926" priority="32"/>
    <cfRule type="duplicateValues" dxfId="2925" priority="31"/>
  </conditionalFormatting>
  <conditionalFormatting sqref="E226:E227">
    <cfRule type="duplicateValues" dxfId="2924" priority="27"/>
    <cfRule type="duplicateValues" dxfId="2923" priority="26"/>
    <cfRule type="duplicateValues" dxfId="2922" priority="28"/>
    <cfRule type="duplicateValues" dxfId="2921" priority="30"/>
    <cfRule type="duplicateValues" dxfId="2920" priority="29"/>
  </conditionalFormatting>
  <conditionalFormatting sqref="E229:E245">
    <cfRule type="duplicateValues" dxfId="2919" priority="17919"/>
    <cfRule type="duplicateValues" dxfId="2918" priority="17914"/>
    <cfRule type="duplicateValues" dxfId="2917" priority="17910"/>
    <cfRule type="duplicateValues" dxfId="2916" priority="17911"/>
    <cfRule type="duplicateValues" dxfId="2915" priority="17912"/>
    <cfRule type="duplicateValues" dxfId="2914" priority="17913"/>
    <cfRule type="duplicateValues" dxfId="2913" priority="17915"/>
    <cfRule type="duplicateValues" dxfId="2912" priority="17916"/>
    <cfRule type="duplicateValues" dxfId="2911" priority="17917"/>
    <cfRule type="duplicateValues" dxfId="2910" priority="17918"/>
  </conditionalFormatting>
  <conditionalFormatting sqref="E232:E245">
    <cfRule type="duplicateValues" dxfId="2909" priority="17930"/>
    <cfRule type="duplicateValues" dxfId="2908" priority="17931"/>
    <cfRule type="duplicateValues" dxfId="2907" priority="17933"/>
    <cfRule type="duplicateValues" dxfId="2906" priority="17934"/>
    <cfRule type="duplicateValues" dxfId="2905" priority="17935"/>
    <cfRule type="duplicateValues" dxfId="2904" priority="17936"/>
    <cfRule type="duplicateValues" dxfId="2903" priority="17937"/>
    <cfRule type="duplicateValues" dxfId="2902" priority="17938"/>
    <cfRule type="duplicateValues" dxfId="2901" priority="17939"/>
    <cfRule type="duplicateValues" dxfId="2900" priority="17932"/>
  </conditionalFormatting>
  <conditionalFormatting sqref="E243:E245">
    <cfRule type="duplicateValues" dxfId="2899" priority="16209"/>
    <cfRule type="duplicateValues" dxfId="2898" priority="16213"/>
    <cfRule type="duplicateValues" dxfId="2897" priority="16212"/>
    <cfRule type="duplicateValues" dxfId="2896" priority="16211"/>
    <cfRule type="duplicateValues" dxfId="2895" priority="16210"/>
  </conditionalFormatting>
  <conditionalFormatting sqref="E244:E245 E1">
    <cfRule type="duplicateValues" dxfId="2894" priority="17802"/>
    <cfRule type="duplicateValues" dxfId="2893" priority="17801"/>
  </conditionalFormatting>
  <conditionalFormatting sqref="E244:E245 E1:E3">
    <cfRule type="duplicateValues" dxfId="2892" priority="17806"/>
    <cfRule type="duplicateValues" dxfId="2891" priority="17805"/>
  </conditionalFormatting>
  <conditionalFormatting sqref="E244:E245">
    <cfRule type="duplicateValues" dxfId="2890" priority="17809"/>
    <cfRule type="duplicateValues" dxfId="2889" priority="17813"/>
  </conditionalFormatting>
  <conditionalFormatting sqref="E248:E358">
    <cfRule type="duplicateValues" dxfId="2888" priority="18593"/>
    <cfRule type="duplicateValues" dxfId="2887" priority="18594"/>
    <cfRule type="duplicateValues" dxfId="2886" priority="18595"/>
    <cfRule type="duplicateValues" dxfId="2885" priority="18596"/>
    <cfRule type="duplicateValues" dxfId="2884" priority="18597"/>
  </conditionalFormatting>
  <conditionalFormatting sqref="E1:G1 E244:E245">
    <cfRule type="duplicateValues" dxfId="2883" priority="17811"/>
  </conditionalFormatting>
  <dataValidations count="5">
    <dataValidation type="list" allowBlank="1" showInputMessage="1" showErrorMessage="1" sqref="H11:H14 H236:H239" xr:uid="{2C64729A-1C46-44A9-8971-ACD777BA8F42}">
      <formula1>$W$2:$W$29</formula1>
    </dataValidation>
    <dataValidation type="list" allowBlank="1" showInputMessage="1" showErrorMessage="1" sqref="H34 H221:H225 H217 H178:H180 H170:H171 H165:H166 H157 H139:H143 H199:H204 H128 H122:H124 H135 H108:H110 H115:H118 H99 H73:H77 H64 H59:H62 H29:H31 H21 H23 H25 H39 H2:H6 H186:H191 H240:H243 H246:H249 H268:H271 H291:H293 H297 H316:H317" xr:uid="{C2731791-0317-4F23-9FC7-8EC9AD0C5B8F}">
      <formula1>$Y$2:$Y$38</formula1>
    </dataValidation>
    <dataValidation type="list" allowBlank="1" showInputMessage="1" showErrorMessage="1" sqref="H32:H33 H232 H226:H227 H175:H176 H164 H158:H159 H125:H126 H71:H72 H207:H208 H214 H244:H245 H265:H266" xr:uid="{243CB585-3714-424D-9EA4-03FE3100501D}">
      <formula1>$Y$2:$Y$34</formula1>
    </dataValidation>
    <dataValidation type="list" allowBlank="1" showInputMessage="1" showErrorMessage="1" sqref="H53 H228 H218:H219 H215:H216 H177 H172:H173 H160 H168:H169 H150:H154 H136:H138 H127:H128 H123:H124 H119:H121 H105:H112 H100 H97:H98 H78:H79 H63:H66 H22:H25 H15:H20 H47:H48 H50:H51 H185 H192:H193 H205:H206 H209:H210 H7:H10 H234:H235" xr:uid="{5844486E-F07E-4B88-B301-D2059BF021DA}">
      <formula1>$Y$2:$Y$36</formula1>
    </dataValidation>
    <dataValidation type="list" allowBlank="1" showInputMessage="1" showErrorMessage="1" sqref="H26:H28 H211:H214 H220 H181:H184 H174 H167 H161:H164 H155:H156 H79:H96 H67:H70 H144:H149 H139 H129:H134 H100:H104 H113:H115 H52:H59 H35:H38 H40:H46 H49 H194:H198 H229:H233 H287:H289" xr:uid="{B58B43D5-34D7-453A-B659-423BFDBAE5B7}">
      <formula1>$Y$2:$Y$35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326"/>
  <sheetViews>
    <sheetView zoomScale="80" zoomScaleNormal="80" workbookViewId="0">
      <pane xSplit="8" ySplit="1" topLeftCell="N321" activePane="bottomRight" state="frozen"/>
      <selection activeCell="H19" sqref="H19"/>
      <selection pane="topRight" activeCell="H19" sqref="H19"/>
      <selection pane="bottomLeft" activeCell="H19" sqref="H19"/>
      <selection pane="bottomRight" activeCell="G327" sqref="G327"/>
    </sheetView>
  </sheetViews>
  <sheetFormatPr defaultColWidth="9.21875" defaultRowHeight="30" customHeight="1" x14ac:dyDescent="0.3"/>
  <cols>
    <col min="1" max="1" width="5.44140625" style="12" bestFit="1" customWidth="1"/>
    <col min="2" max="2" width="13.5546875" style="12" bestFit="1" customWidth="1"/>
    <col min="3" max="4" width="15.44140625" style="12" customWidth="1"/>
    <col min="5" max="5" width="17.21875" style="12" bestFit="1" customWidth="1"/>
    <col min="6" max="6" width="22.21875" style="12" customWidth="1"/>
    <col min="7" max="7" width="6.77734375" style="13" customWidth="1"/>
    <col min="8" max="8" width="36.44140625" style="11" customWidth="1"/>
    <col min="9" max="9" width="35.5546875" style="11" customWidth="1"/>
    <col min="10" max="10" width="18.44140625" style="11" customWidth="1"/>
    <col min="11" max="12" width="16.44140625" style="11" customWidth="1"/>
    <col min="13" max="13" width="18.21875" style="11" customWidth="1"/>
    <col min="14" max="14" width="18.44140625" style="11" customWidth="1"/>
    <col min="15" max="15" width="15" style="11" customWidth="1"/>
    <col min="16" max="16" width="14.21875" style="11" customWidth="1"/>
    <col min="17" max="17" width="19.21875" style="11" customWidth="1"/>
    <col min="18" max="18" width="13.77734375" style="11" customWidth="1"/>
    <col min="19" max="19" width="12.44140625" style="11" customWidth="1"/>
    <col min="20" max="20" width="24.44140625" style="11" customWidth="1"/>
    <col min="21" max="21" width="38.21875" style="11" customWidth="1"/>
    <col min="22" max="22" width="62.44140625" style="11" customWidth="1"/>
    <col min="23" max="16384" width="9.21875" style="11"/>
  </cols>
  <sheetData>
    <row r="1" spans="1:22" s="17" customFormat="1" ht="30" customHeight="1" x14ac:dyDescent="0.3">
      <c r="A1" s="14" t="s">
        <v>0</v>
      </c>
      <c r="B1" s="15" t="s">
        <v>17</v>
      </c>
      <c r="C1" s="16" t="s">
        <v>2</v>
      </c>
      <c r="D1" s="16" t="s">
        <v>30</v>
      </c>
      <c r="E1" s="1" t="s">
        <v>3</v>
      </c>
      <c r="F1" s="1" t="s">
        <v>23</v>
      </c>
      <c r="G1" s="1" t="s">
        <v>48</v>
      </c>
      <c r="H1" s="1" t="s">
        <v>4</v>
      </c>
      <c r="I1" s="1" t="s">
        <v>5</v>
      </c>
      <c r="J1" s="1" t="s">
        <v>6</v>
      </c>
      <c r="K1" s="1" t="s">
        <v>22</v>
      </c>
      <c r="L1" s="1" t="s">
        <v>21</v>
      </c>
      <c r="M1" s="1" t="s">
        <v>47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25</v>
      </c>
      <c r="V1" s="1" t="s">
        <v>97</v>
      </c>
    </row>
    <row r="2" spans="1:22" ht="30" customHeight="1" x14ac:dyDescent="0.3">
      <c r="A2" s="19">
        <v>1</v>
      </c>
      <c r="B2" s="74" t="s">
        <v>76</v>
      </c>
      <c r="C2" s="70">
        <v>45743</v>
      </c>
      <c r="D2" s="70" t="s">
        <v>70</v>
      </c>
      <c r="E2" s="115" t="s">
        <v>71</v>
      </c>
      <c r="F2" s="70" t="s">
        <v>72</v>
      </c>
      <c r="G2" s="71">
        <v>24</v>
      </c>
      <c r="H2" s="8" t="s">
        <v>61</v>
      </c>
      <c r="I2" s="24" t="s">
        <v>73</v>
      </c>
      <c r="J2" s="45">
        <v>4351591</v>
      </c>
      <c r="K2" s="72">
        <f t="shared" ref="K2:K16" si="0">ROUND(IF(G2=36,J2*9%,0),0)</f>
        <v>0</v>
      </c>
      <c r="L2" s="40">
        <f t="shared" ref="L2:L16" si="1">ROUND(IF(G2=36,J2*9%,0),0)</f>
        <v>0</v>
      </c>
      <c r="M2" s="40">
        <f t="shared" ref="M2:M16" si="2">ROUND(IF(G2=36,J2*0%,J2*18%),0)</f>
        <v>783286</v>
      </c>
      <c r="N2" s="41">
        <f t="shared" ref="N2:N16" si="3">J2+K2+L2+M2</f>
        <v>5134877</v>
      </c>
      <c r="O2" s="21">
        <f t="shared" ref="O2:O7" si="4">N2-Q2</f>
        <v>87032</v>
      </c>
      <c r="P2" s="349">
        <f t="shared" ref="P2:P8" si="5">O2/J2</f>
        <v>2.0000041364181514E-2</v>
      </c>
      <c r="Q2" s="23">
        <v>5047845</v>
      </c>
      <c r="R2" s="73">
        <v>45750</v>
      </c>
      <c r="S2" s="6" t="s">
        <v>74</v>
      </c>
      <c r="T2" s="10" t="s">
        <v>75</v>
      </c>
      <c r="U2" s="10"/>
      <c r="V2" s="10"/>
    </row>
    <row r="3" spans="1:22" ht="30" customHeight="1" x14ac:dyDescent="0.3">
      <c r="A3" s="19">
        <f t="shared" ref="A3:A85" si="6">A2+1</f>
        <v>2</v>
      </c>
      <c r="B3" s="74" t="s">
        <v>76</v>
      </c>
      <c r="C3" s="70">
        <v>45742</v>
      </c>
      <c r="D3" s="70" t="s">
        <v>70</v>
      </c>
      <c r="E3" s="115" t="s">
        <v>77</v>
      </c>
      <c r="F3" s="70" t="s">
        <v>78</v>
      </c>
      <c r="G3" s="71">
        <v>36</v>
      </c>
      <c r="H3" s="8" t="s">
        <v>53</v>
      </c>
      <c r="I3" s="24" t="s">
        <v>79</v>
      </c>
      <c r="J3" s="45">
        <v>702456</v>
      </c>
      <c r="K3" s="72">
        <f t="shared" si="0"/>
        <v>63221</v>
      </c>
      <c r="L3" s="40">
        <f t="shared" si="1"/>
        <v>63221</v>
      </c>
      <c r="M3" s="40">
        <f t="shared" si="2"/>
        <v>0</v>
      </c>
      <c r="N3" s="41">
        <f t="shared" si="3"/>
        <v>828898</v>
      </c>
      <c r="O3" s="21">
        <f t="shared" si="4"/>
        <v>2107.3680000000168</v>
      </c>
      <c r="P3" s="349">
        <f t="shared" si="5"/>
        <v>3.0000000000000239E-3</v>
      </c>
      <c r="Q3" s="23">
        <f>N3-(J3*0.3%)</f>
        <v>826790.63199999998</v>
      </c>
      <c r="R3" s="73">
        <v>45750</v>
      </c>
      <c r="S3" s="6" t="s">
        <v>74</v>
      </c>
      <c r="T3" s="10" t="s">
        <v>80</v>
      </c>
      <c r="U3" s="10"/>
      <c r="V3" s="10"/>
    </row>
    <row r="4" spans="1:22" ht="30" customHeight="1" x14ac:dyDescent="0.3">
      <c r="A4" s="19">
        <f t="shared" si="6"/>
        <v>3</v>
      </c>
      <c r="B4" s="74" t="s">
        <v>76</v>
      </c>
      <c r="C4" s="70">
        <v>45742</v>
      </c>
      <c r="D4" s="70" t="s">
        <v>70</v>
      </c>
      <c r="E4" s="70" t="s">
        <v>81</v>
      </c>
      <c r="F4" s="70" t="s">
        <v>78</v>
      </c>
      <c r="G4" s="71">
        <v>36</v>
      </c>
      <c r="H4" s="8" t="s">
        <v>53</v>
      </c>
      <c r="I4" s="24" t="s">
        <v>82</v>
      </c>
      <c r="J4" s="45">
        <v>40800</v>
      </c>
      <c r="K4" s="72">
        <f t="shared" si="0"/>
        <v>3672</v>
      </c>
      <c r="L4" s="40">
        <f t="shared" si="1"/>
        <v>3672</v>
      </c>
      <c r="M4" s="40">
        <f t="shared" si="2"/>
        <v>0</v>
      </c>
      <c r="N4" s="41">
        <f t="shared" si="3"/>
        <v>48144</v>
      </c>
      <c r="O4" s="21">
        <f t="shared" si="4"/>
        <v>122.40000000000146</v>
      </c>
      <c r="P4" s="349">
        <f t="shared" si="5"/>
        <v>3.0000000000000356E-3</v>
      </c>
      <c r="Q4" s="23">
        <f>N4-(J4*0.3%)</f>
        <v>48021.599999999999</v>
      </c>
      <c r="R4" s="73">
        <v>45750</v>
      </c>
      <c r="S4" s="6" t="s">
        <v>74</v>
      </c>
      <c r="T4" s="10" t="s">
        <v>80</v>
      </c>
      <c r="U4" s="10"/>
      <c r="V4" s="10"/>
    </row>
    <row r="5" spans="1:22" ht="30" customHeight="1" x14ac:dyDescent="0.3">
      <c r="A5" s="19">
        <f t="shared" si="6"/>
        <v>4</v>
      </c>
      <c r="B5" s="74" t="s">
        <v>76</v>
      </c>
      <c r="C5" s="77">
        <v>45744</v>
      </c>
      <c r="D5" s="77" t="s">
        <v>70</v>
      </c>
      <c r="E5" s="115" t="s">
        <v>86</v>
      </c>
      <c r="F5" s="77" t="s">
        <v>87</v>
      </c>
      <c r="G5" s="78">
        <v>24</v>
      </c>
      <c r="H5" s="8" t="s">
        <v>53</v>
      </c>
      <c r="I5" s="24" t="s">
        <v>88</v>
      </c>
      <c r="J5" s="45">
        <v>17358563</v>
      </c>
      <c r="K5" s="79">
        <f t="shared" si="0"/>
        <v>0</v>
      </c>
      <c r="L5" s="40">
        <f t="shared" si="1"/>
        <v>0</v>
      </c>
      <c r="M5" s="40">
        <f t="shared" si="2"/>
        <v>3124541</v>
      </c>
      <c r="N5" s="41">
        <f t="shared" si="3"/>
        <v>20483104</v>
      </c>
      <c r="O5" s="21">
        <f t="shared" si="4"/>
        <v>52075.688999999315</v>
      </c>
      <c r="P5" s="349">
        <f t="shared" si="5"/>
        <v>2.9999999999999606E-3</v>
      </c>
      <c r="Q5" s="23">
        <f>N5-(J5*0.3%)</f>
        <v>20431028.311000001</v>
      </c>
      <c r="R5" s="80">
        <v>45751</v>
      </c>
      <c r="S5" s="6" t="s">
        <v>74</v>
      </c>
      <c r="T5" s="10" t="s">
        <v>80</v>
      </c>
      <c r="U5" s="10"/>
      <c r="V5" s="10"/>
    </row>
    <row r="6" spans="1:22" ht="30" customHeight="1" x14ac:dyDescent="0.3">
      <c r="A6" s="19">
        <f t="shared" si="6"/>
        <v>5</v>
      </c>
      <c r="B6" s="74" t="s">
        <v>76</v>
      </c>
      <c r="C6" s="77">
        <v>45744</v>
      </c>
      <c r="D6" s="77" t="s">
        <v>70</v>
      </c>
      <c r="E6" s="77" t="s">
        <v>89</v>
      </c>
      <c r="F6" s="77" t="s">
        <v>87</v>
      </c>
      <c r="G6" s="78">
        <v>24</v>
      </c>
      <c r="H6" s="8" t="s">
        <v>53</v>
      </c>
      <c r="I6" s="24" t="s">
        <v>90</v>
      </c>
      <c r="J6" s="45">
        <v>1919730</v>
      </c>
      <c r="K6" s="79">
        <f t="shared" si="0"/>
        <v>0</v>
      </c>
      <c r="L6" s="40">
        <f t="shared" si="1"/>
        <v>0</v>
      </c>
      <c r="M6" s="40">
        <f t="shared" si="2"/>
        <v>345551</v>
      </c>
      <c r="N6" s="41">
        <f t="shared" si="3"/>
        <v>2265281</v>
      </c>
      <c r="O6" s="21">
        <f t="shared" si="4"/>
        <v>5759.1899999999441</v>
      </c>
      <c r="P6" s="349">
        <f t="shared" si="5"/>
        <v>2.999999999999971E-3</v>
      </c>
      <c r="Q6" s="23">
        <f>N6-(J6*0.3%)</f>
        <v>2259521.81</v>
      </c>
      <c r="R6" s="80">
        <v>45751</v>
      </c>
      <c r="S6" s="6" t="s">
        <v>74</v>
      </c>
      <c r="T6" s="10" t="s">
        <v>80</v>
      </c>
      <c r="U6" s="10"/>
      <c r="V6" s="10"/>
    </row>
    <row r="7" spans="1:22" ht="30" customHeight="1" x14ac:dyDescent="0.3">
      <c r="A7" s="19">
        <f t="shared" si="6"/>
        <v>6</v>
      </c>
      <c r="B7" s="74" t="s">
        <v>76</v>
      </c>
      <c r="C7" s="77">
        <v>45744</v>
      </c>
      <c r="D7" s="77" t="s">
        <v>70</v>
      </c>
      <c r="E7" s="77" t="s">
        <v>91</v>
      </c>
      <c r="F7" s="77" t="s">
        <v>87</v>
      </c>
      <c r="G7" s="78">
        <v>24</v>
      </c>
      <c r="H7" s="8" t="s">
        <v>53</v>
      </c>
      <c r="I7" s="24" t="s">
        <v>92</v>
      </c>
      <c r="J7" s="45">
        <v>174759</v>
      </c>
      <c r="K7" s="79">
        <f t="shared" si="0"/>
        <v>0</v>
      </c>
      <c r="L7" s="40">
        <f t="shared" si="1"/>
        <v>0</v>
      </c>
      <c r="M7" s="40">
        <f t="shared" si="2"/>
        <v>31457</v>
      </c>
      <c r="N7" s="41">
        <f t="shared" si="3"/>
        <v>206216</v>
      </c>
      <c r="O7" s="21">
        <f t="shared" si="4"/>
        <v>524.27700000000186</v>
      </c>
      <c r="P7" s="349">
        <f t="shared" si="5"/>
        <v>3.0000000000000105E-3</v>
      </c>
      <c r="Q7" s="23">
        <f>N7-(J7*0.3%)</f>
        <v>205691.723</v>
      </c>
      <c r="R7" s="80">
        <v>45751</v>
      </c>
      <c r="S7" s="6" t="s">
        <v>74</v>
      </c>
      <c r="T7" s="10" t="s">
        <v>80</v>
      </c>
      <c r="U7" s="10"/>
      <c r="V7" s="10"/>
    </row>
    <row r="8" spans="1:22" ht="30" customHeight="1" x14ac:dyDescent="0.3">
      <c r="A8" s="19">
        <f t="shared" si="6"/>
        <v>7</v>
      </c>
      <c r="B8" s="74" t="s">
        <v>76</v>
      </c>
      <c r="C8" s="81">
        <v>45744</v>
      </c>
      <c r="D8" s="81" t="s">
        <v>70</v>
      </c>
      <c r="E8" s="155" t="s">
        <v>93</v>
      </c>
      <c r="F8" s="155" t="s">
        <v>94</v>
      </c>
      <c r="G8" s="156">
        <v>24</v>
      </c>
      <c r="H8" s="8" t="s">
        <v>50</v>
      </c>
      <c r="I8" s="24" t="s">
        <v>95</v>
      </c>
      <c r="J8" s="45">
        <v>14695798</v>
      </c>
      <c r="K8" s="157">
        <f t="shared" si="0"/>
        <v>0</v>
      </c>
      <c r="L8" s="40">
        <f t="shared" si="1"/>
        <v>0</v>
      </c>
      <c r="M8" s="40">
        <f t="shared" si="2"/>
        <v>2645244</v>
      </c>
      <c r="N8" s="41">
        <f t="shared" si="3"/>
        <v>17341042</v>
      </c>
      <c r="O8" s="21">
        <f>N8-Q8</f>
        <v>44087</v>
      </c>
      <c r="P8" s="349">
        <f t="shared" si="5"/>
        <v>2.9999731896151538E-3</v>
      </c>
      <c r="Q8" s="23">
        <f>14651711+2645244</f>
        <v>17296955</v>
      </c>
      <c r="R8" s="158" t="s">
        <v>189</v>
      </c>
      <c r="S8" s="6" t="s">
        <v>74</v>
      </c>
      <c r="T8" s="10" t="s">
        <v>96</v>
      </c>
      <c r="U8" s="8" t="s">
        <v>190</v>
      </c>
      <c r="V8" s="8"/>
    </row>
    <row r="9" spans="1:22" ht="30" customHeight="1" x14ac:dyDescent="0.3">
      <c r="A9" s="19">
        <f t="shared" si="6"/>
        <v>8</v>
      </c>
      <c r="B9" s="74" t="s">
        <v>76</v>
      </c>
      <c r="C9" s="81">
        <v>45743</v>
      </c>
      <c r="D9" s="81" t="s">
        <v>70</v>
      </c>
      <c r="E9" s="115" t="s">
        <v>102</v>
      </c>
      <c r="F9" s="81" t="s">
        <v>99</v>
      </c>
      <c r="G9" s="82">
        <v>27</v>
      </c>
      <c r="H9" s="8" t="s">
        <v>62</v>
      </c>
      <c r="I9" s="24" t="s">
        <v>103</v>
      </c>
      <c r="J9" s="45">
        <v>830910</v>
      </c>
      <c r="K9" s="83">
        <f>ROUND(IF(G9=36,J9*9%,0),0)</f>
        <v>0</v>
      </c>
      <c r="L9" s="40">
        <f>ROUND(IF(G9=36,J9*9%,0),0)</f>
        <v>0</v>
      </c>
      <c r="M9" s="40">
        <f>ROUND(IF(G9=36,J9*0%,J9*18%),0)</f>
        <v>149564</v>
      </c>
      <c r="N9" s="41">
        <f>J9+K9+L9+M9</f>
        <v>980474</v>
      </c>
      <c r="O9" s="21">
        <f t="shared" ref="O9:O14" si="7">N9-Q9</f>
        <v>16618.199999999953</v>
      </c>
      <c r="P9" s="349">
        <f t="shared" ref="P9:P14" si="8">O9/J9</f>
        <v>1.9999999999999945E-2</v>
      </c>
      <c r="Q9" s="23">
        <v>963855.8</v>
      </c>
      <c r="R9" s="84">
        <v>45751</v>
      </c>
      <c r="S9" s="6" t="s">
        <v>74</v>
      </c>
      <c r="T9" s="10" t="s">
        <v>101</v>
      </c>
      <c r="U9" s="10"/>
      <c r="V9" s="10"/>
    </row>
    <row r="10" spans="1:22" ht="30" customHeight="1" x14ac:dyDescent="0.3">
      <c r="A10" s="19">
        <f t="shared" si="6"/>
        <v>9</v>
      </c>
      <c r="B10" s="74" t="s">
        <v>76</v>
      </c>
      <c r="C10" s="81">
        <v>45743</v>
      </c>
      <c r="D10" s="81" t="s">
        <v>70</v>
      </c>
      <c r="E10" s="115" t="s">
        <v>98</v>
      </c>
      <c r="F10" s="81" t="s">
        <v>99</v>
      </c>
      <c r="G10" s="82">
        <v>27</v>
      </c>
      <c r="H10" s="8" t="s">
        <v>62</v>
      </c>
      <c r="I10" s="24" t="s">
        <v>100</v>
      </c>
      <c r="J10" s="45">
        <v>956648</v>
      </c>
      <c r="K10" s="83">
        <f t="shared" si="0"/>
        <v>0</v>
      </c>
      <c r="L10" s="40">
        <f t="shared" si="1"/>
        <v>0</v>
      </c>
      <c r="M10" s="40">
        <f t="shared" si="2"/>
        <v>172197</v>
      </c>
      <c r="N10" s="41">
        <f t="shared" si="3"/>
        <v>1128845</v>
      </c>
      <c r="O10" s="21">
        <f t="shared" si="7"/>
        <v>19133.360000000102</v>
      </c>
      <c r="P10" s="349">
        <f t="shared" si="8"/>
        <v>2.0000418126625574E-2</v>
      </c>
      <c r="Q10" s="23">
        <v>1109711.6399999999</v>
      </c>
      <c r="R10" s="84">
        <v>45751</v>
      </c>
      <c r="S10" s="6" t="s">
        <v>74</v>
      </c>
      <c r="T10" s="10" t="s">
        <v>101</v>
      </c>
      <c r="U10" s="10"/>
      <c r="V10" s="10"/>
    </row>
    <row r="11" spans="1:22" ht="30" customHeight="1" x14ac:dyDescent="0.3">
      <c r="A11" s="19">
        <f t="shared" si="6"/>
        <v>10</v>
      </c>
      <c r="B11" s="74" t="s">
        <v>76</v>
      </c>
      <c r="C11" s="85">
        <v>45744</v>
      </c>
      <c r="D11" s="85" t="s">
        <v>70</v>
      </c>
      <c r="E11" s="115" t="s">
        <v>107</v>
      </c>
      <c r="F11" s="85" t="s">
        <v>105</v>
      </c>
      <c r="G11" s="86">
        <v>24</v>
      </c>
      <c r="H11" s="8" t="s">
        <v>60</v>
      </c>
      <c r="I11" s="24" t="s">
        <v>108</v>
      </c>
      <c r="J11" s="45">
        <v>5909715</v>
      </c>
      <c r="K11" s="87">
        <f>ROUND(IF(G11=36,J11*9%,0),0)</f>
        <v>0</v>
      </c>
      <c r="L11" s="40">
        <f>ROUND(IF(G11=36,J11*9%,0),0)</f>
        <v>0</v>
      </c>
      <c r="M11" s="40">
        <f>ROUND(IF(G11=36,J11*0%,J11*18%),0)</f>
        <v>1063749</v>
      </c>
      <c r="N11" s="41">
        <f>J11+K11+L11+M11</f>
        <v>6973464</v>
      </c>
      <c r="O11" s="21">
        <f t="shared" si="7"/>
        <v>118194</v>
      </c>
      <c r="P11" s="349">
        <f t="shared" si="8"/>
        <v>1.9999949236130677E-2</v>
      </c>
      <c r="Q11" s="23">
        <f>6855270</f>
        <v>6855270</v>
      </c>
      <c r="R11" s="88">
        <v>45751</v>
      </c>
      <c r="S11" s="6" t="s">
        <v>74</v>
      </c>
      <c r="T11" s="10" t="s">
        <v>106</v>
      </c>
      <c r="U11" s="10"/>
      <c r="V11" s="10"/>
    </row>
    <row r="12" spans="1:22" ht="30" customHeight="1" x14ac:dyDescent="0.3">
      <c r="A12" s="19">
        <f t="shared" si="6"/>
        <v>11</v>
      </c>
      <c r="B12" s="74" t="s">
        <v>76</v>
      </c>
      <c r="C12" s="85">
        <v>45744</v>
      </c>
      <c r="D12" s="85" t="s">
        <v>70</v>
      </c>
      <c r="E12" s="115" t="s">
        <v>104</v>
      </c>
      <c r="F12" s="85" t="s">
        <v>105</v>
      </c>
      <c r="G12" s="86">
        <v>24</v>
      </c>
      <c r="H12" s="8" t="s">
        <v>60</v>
      </c>
      <c r="I12" s="24" t="s">
        <v>90</v>
      </c>
      <c r="J12" s="45">
        <v>1300481</v>
      </c>
      <c r="K12" s="87">
        <f t="shared" si="0"/>
        <v>0</v>
      </c>
      <c r="L12" s="40">
        <f t="shared" si="1"/>
        <v>0</v>
      </c>
      <c r="M12" s="40">
        <f t="shared" si="2"/>
        <v>234087</v>
      </c>
      <c r="N12" s="41">
        <f t="shared" si="3"/>
        <v>1534568</v>
      </c>
      <c r="O12" s="21">
        <f t="shared" si="7"/>
        <v>25961.189999999944</v>
      </c>
      <c r="P12" s="349">
        <f t="shared" si="8"/>
        <v>1.9962759932671024E-2</v>
      </c>
      <c r="Q12" s="23">
        <f>1508606.81</f>
        <v>1508606.81</v>
      </c>
      <c r="R12" s="88">
        <v>45751</v>
      </c>
      <c r="S12" s="6" t="s">
        <v>74</v>
      </c>
      <c r="T12" s="10" t="s">
        <v>106</v>
      </c>
      <c r="U12" s="10"/>
      <c r="V12" s="10"/>
    </row>
    <row r="13" spans="1:22" ht="30" customHeight="1" x14ac:dyDescent="0.3">
      <c r="A13" s="19">
        <f t="shared" si="6"/>
        <v>12</v>
      </c>
      <c r="B13" s="74" t="s">
        <v>76</v>
      </c>
      <c r="C13" s="89">
        <v>45743</v>
      </c>
      <c r="D13" s="89" t="s">
        <v>70</v>
      </c>
      <c r="E13" s="115" t="s">
        <v>109</v>
      </c>
      <c r="F13" s="89" t="s">
        <v>110</v>
      </c>
      <c r="G13" s="90">
        <v>37</v>
      </c>
      <c r="H13" s="8" t="s">
        <v>59</v>
      </c>
      <c r="I13" s="24" t="s">
        <v>111</v>
      </c>
      <c r="J13" s="45">
        <v>14784440</v>
      </c>
      <c r="K13" s="91">
        <f t="shared" si="0"/>
        <v>0</v>
      </c>
      <c r="L13" s="40">
        <f t="shared" si="1"/>
        <v>0</v>
      </c>
      <c r="M13" s="40">
        <f t="shared" si="2"/>
        <v>2661199</v>
      </c>
      <c r="N13" s="41">
        <f t="shared" si="3"/>
        <v>17445639</v>
      </c>
      <c r="O13" s="21">
        <f t="shared" si="7"/>
        <v>295688.80000000075</v>
      </c>
      <c r="P13" s="349">
        <f t="shared" si="8"/>
        <v>2.0000000000000049E-2</v>
      </c>
      <c r="Q13" s="23">
        <f>N13-(J13*2%)</f>
        <v>17149950.199999999</v>
      </c>
      <c r="R13" s="92">
        <v>45754</v>
      </c>
      <c r="S13" s="6" t="s">
        <v>74</v>
      </c>
      <c r="T13" s="10" t="s">
        <v>101</v>
      </c>
      <c r="U13" s="10"/>
      <c r="V13" s="10"/>
    </row>
    <row r="14" spans="1:22" ht="30" customHeight="1" x14ac:dyDescent="0.3">
      <c r="A14" s="19">
        <f t="shared" si="6"/>
        <v>13</v>
      </c>
      <c r="B14" s="74" t="s">
        <v>76</v>
      </c>
      <c r="C14" s="89">
        <v>45743</v>
      </c>
      <c r="D14" s="89" t="s">
        <v>70</v>
      </c>
      <c r="E14" s="115" t="s">
        <v>112</v>
      </c>
      <c r="F14" s="89" t="s">
        <v>110</v>
      </c>
      <c r="G14" s="90">
        <v>37</v>
      </c>
      <c r="H14" s="8" t="s">
        <v>59</v>
      </c>
      <c r="I14" s="24" t="s">
        <v>113</v>
      </c>
      <c r="J14" s="45">
        <v>14796458</v>
      </c>
      <c r="K14" s="91">
        <f t="shared" si="0"/>
        <v>0</v>
      </c>
      <c r="L14" s="40">
        <f t="shared" si="1"/>
        <v>0</v>
      </c>
      <c r="M14" s="40">
        <f t="shared" si="2"/>
        <v>2663362</v>
      </c>
      <c r="N14" s="41">
        <f t="shared" si="3"/>
        <v>17459820</v>
      </c>
      <c r="O14" s="21">
        <f t="shared" si="7"/>
        <v>295929.16000000015</v>
      </c>
      <c r="P14" s="349">
        <f t="shared" si="8"/>
        <v>2.0000000000000011E-2</v>
      </c>
      <c r="Q14" s="23">
        <f>N14-(J14*2%)</f>
        <v>17163890.84</v>
      </c>
      <c r="R14" s="92">
        <v>45754</v>
      </c>
      <c r="S14" s="6" t="s">
        <v>74</v>
      </c>
      <c r="T14" s="10" t="s">
        <v>101</v>
      </c>
      <c r="U14" s="10"/>
      <c r="V14" s="10"/>
    </row>
    <row r="15" spans="1:22" ht="30" customHeight="1" x14ac:dyDescent="0.3">
      <c r="A15" s="19">
        <f t="shared" si="6"/>
        <v>14</v>
      </c>
      <c r="B15" s="74" t="s">
        <v>76</v>
      </c>
      <c r="C15" s="93">
        <v>45743</v>
      </c>
      <c r="D15" s="93" t="s">
        <v>70</v>
      </c>
      <c r="E15" s="115" t="s">
        <v>114</v>
      </c>
      <c r="F15" s="93" t="s">
        <v>115</v>
      </c>
      <c r="G15" s="94">
        <v>5</v>
      </c>
      <c r="H15" s="8" t="s">
        <v>63</v>
      </c>
      <c r="I15" s="24" t="s">
        <v>116</v>
      </c>
      <c r="J15" s="45">
        <v>3365695</v>
      </c>
      <c r="K15" s="95">
        <f t="shared" si="0"/>
        <v>0</v>
      </c>
      <c r="L15" s="40">
        <f t="shared" si="1"/>
        <v>0</v>
      </c>
      <c r="M15" s="40">
        <f t="shared" si="2"/>
        <v>605825</v>
      </c>
      <c r="N15" s="41">
        <f t="shared" si="3"/>
        <v>3971520</v>
      </c>
      <c r="O15" s="21">
        <f>N15-Q15</f>
        <v>10096.899999999907</v>
      </c>
      <c r="P15" s="349">
        <f>O15/J15</f>
        <v>2.9999450336408696E-3</v>
      </c>
      <c r="Q15" s="23">
        <v>3961423.1</v>
      </c>
      <c r="R15" s="96">
        <v>45754</v>
      </c>
      <c r="S15" s="6" t="s">
        <v>74</v>
      </c>
      <c r="T15" s="10" t="s">
        <v>101</v>
      </c>
      <c r="U15" s="8"/>
      <c r="V15" s="8"/>
    </row>
    <row r="16" spans="1:22" ht="30" customHeight="1" x14ac:dyDescent="0.3">
      <c r="A16" s="19">
        <f t="shared" si="6"/>
        <v>15</v>
      </c>
      <c r="B16" s="74" t="s">
        <v>76</v>
      </c>
      <c r="C16" s="97">
        <v>45744</v>
      </c>
      <c r="D16" s="97" t="s">
        <v>70</v>
      </c>
      <c r="E16" s="155" t="s">
        <v>117</v>
      </c>
      <c r="F16" s="155" t="s">
        <v>94</v>
      </c>
      <c r="G16" s="156">
        <v>24</v>
      </c>
      <c r="H16" s="8" t="s">
        <v>50</v>
      </c>
      <c r="I16" s="24" t="s">
        <v>90</v>
      </c>
      <c r="J16" s="45">
        <v>1264957</v>
      </c>
      <c r="K16" s="157">
        <f t="shared" si="0"/>
        <v>0</v>
      </c>
      <c r="L16" s="40">
        <f t="shared" si="1"/>
        <v>0</v>
      </c>
      <c r="M16" s="40">
        <f t="shared" si="2"/>
        <v>227692</v>
      </c>
      <c r="N16" s="41">
        <f t="shared" si="3"/>
        <v>1492649</v>
      </c>
      <c r="O16" s="21">
        <f>N16-Q16</f>
        <v>3795.8200000000652</v>
      </c>
      <c r="P16" s="349">
        <f t="shared" ref="P16" si="9">O16/J16</f>
        <v>3.0007502231301658E-3</v>
      </c>
      <c r="Q16" s="23">
        <f>1261161.18+227692</f>
        <v>1488853.18</v>
      </c>
      <c r="R16" s="158" t="s">
        <v>191</v>
      </c>
      <c r="S16" s="6" t="s">
        <v>74</v>
      </c>
      <c r="T16" s="10" t="s">
        <v>96</v>
      </c>
      <c r="U16" s="8" t="s">
        <v>190</v>
      </c>
      <c r="V16" s="8"/>
    </row>
    <row r="17" spans="1:22" ht="30" customHeight="1" x14ac:dyDescent="0.3">
      <c r="A17" s="19">
        <f t="shared" si="6"/>
        <v>16</v>
      </c>
      <c r="B17" s="74" t="s">
        <v>76</v>
      </c>
      <c r="C17" s="97">
        <v>45744</v>
      </c>
      <c r="D17" s="97" t="s">
        <v>70</v>
      </c>
      <c r="E17" s="115" t="s">
        <v>118</v>
      </c>
      <c r="F17" s="97" t="s">
        <v>94</v>
      </c>
      <c r="G17" s="98">
        <v>24</v>
      </c>
      <c r="H17" s="8" t="s">
        <v>50</v>
      </c>
      <c r="I17" s="24" t="s">
        <v>119</v>
      </c>
      <c r="J17" s="45">
        <v>80470</v>
      </c>
      <c r="K17" s="99">
        <v>0</v>
      </c>
      <c r="L17" s="40">
        <v>0</v>
      </c>
      <c r="M17" s="40">
        <v>14485</v>
      </c>
      <c r="N17" s="41">
        <v>94955</v>
      </c>
      <c r="O17" s="21">
        <v>241</v>
      </c>
      <c r="P17" s="349">
        <v>2.994904933515596E-3</v>
      </c>
      <c r="Q17" s="23">
        <v>94714</v>
      </c>
      <c r="R17" s="100">
        <v>45755</v>
      </c>
      <c r="S17" s="6" t="s">
        <v>74</v>
      </c>
      <c r="T17" s="10" t="s">
        <v>96</v>
      </c>
      <c r="U17" s="101">
        <v>0</v>
      </c>
      <c r="V17" s="8"/>
    </row>
    <row r="18" spans="1:22" ht="30" customHeight="1" x14ac:dyDescent="0.3">
      <c r="A18" s="19">
        <f t="shared" si="6"/>
        <v>17</v>
      </c>
      <c r="B18" s="74" t="s">
        <v>76</v>
      </c>
      <c r="C18" s="102">
        <v>45743</v>
      </c>
      <c r="D18" s="102" t="s">
        <v>70</v>
      </c>
      <c r="E18" s="115" t="s">
        <v>120</v>
      </c>
      <c r="F18" s="102" t="s">
        <v>110</v>
      </c>
      <c r="G18" s="103">
        <v>37</v>
      </c>
      <c r="H18" s="8" t="s">
        <v>59</v>
      </c>
      <c r="I18" s="24" t="s">
        <v>121</v>
      </c>
      <c r="J18" s="45">
        <v>20986200</v>
      </c>
      <c r="K18" s="104">
        <f t="shared" ref="K18:K29" si="10">ROUND(IF(G18=36,J18*9%,0),0)</f>
        <v>0</v>
      </c>
      <c r="L18" s="40">
        <f t="shared" ref="L18:L29" si="11">ROUND(IF(G18=36,J18*9%,0),0)</f>
        <v>0</v>
      </c>
      <c r="M18" s="40">
        <f t="shared" ref="M18:M29" si="12">ROUND(IF(G18=36,J18*0%,J18*18%),0)</f>
        <v>3777516</v>
      </c>
      <c r="N18" s="41">
        <f t="shared" ref="N18:N29" si="13">J18+K18+L18+M18</f>
        <v>24763716</v>
      </c>
      <c r="O18" s="21">
        <f>N18-Q18</f>
        <v>419724</v>
      </c>
      <c r="P18" s="349">
        <f t="shared" ref="P18" si="14">O18/J18</f>
        <v>0.02</v>
      </c>
      <c r="Q18" s="23">
        <v>24343992</v>
      </c>
      <c r="R18" s="105">
        <v>45755</v>
      </c>
      <c r="S18" s="6" t="s">
        <v>74</v>
      </c>
      <c r="T18" s="10" t="s">
        <v>96</v>
      </c>
      <c r="U18" s="10"/>
      <c r="V18" s="10"/>
    </row>
    <row r="19" spans="1:22" ht="30" customHeight="1" x14ac:dyDescent="0.3">
      <c r="A19" s="19">
        <f t="shared" si="6"/>
        <v>18</v>
      </c>
      <c r="B19" s="74" t="s">
        <v>76</v>
      </c>
      <c r="C19" s="106">
        <v>45694</v>
      </c>
      <c r="D19" s="106" t="s">
        <v>33</v>
      </c>
      <c r="E19" s="115" t="s">
        <v>122</v>
      </c>
      <c r="F19" s="106" t="s">
        <v>37</v>
      </c>
      <c r="G19" s="107">
        <v>36</v>
      </c>
      <c r="H19" s="8" t="s">
        <v>38</v>
      </c>
      <c r="I19" s="24" t="s">
        <v>123</v>
      </c>
      <c r="J19" s="45">
        <f>((109000*2)+133333+(158333*2))</f>
        <v>667999</v>
      </c>
      <c r="K19" s="108">
        <f t="shared" si="10"/>
        <v>60120</v>
      </c>
      <c r="L19" s="40">
        <f t="shared" si="11"/>
        <v>60120</v>
      </c>
      <c r="M19" s="40">
        <f t="shared" si="12"/>
        <v>0</v>
      </c>
      <c r="N19" s="41">
        <f t="shared" si="13"/>
        <v>788239</v>
      </c>
      <c r="O19" s="21">
        <f>N19-Q19</f>
        <v>2004</v>
      </c>
      <c r="P19" s="349">
        <f t="shared" ref="P19:P24" si="15">O19/J19</f>
        <v>3.0000044910246872E-3</v>
      </c>
      <c r="Q19" s="23">
        <f>786235</f>
        <v>786235</v>
      </c>
      <c r="R19" s="109">
        <v>45756</v>
      </c>
      <c r="S19" s="6" t="s">
        <v>74</v>
      </c>
      <c r="T19" s="10" t="s">
        <v>124</v>
      </c>
      <c r="U19" s="10"/>
      <c r="V19" s="10"/>
    </row>
    <row r="20" spans="1:22" ht="30" customHeight="1" x14ac:dyDescent="0.3">
      <c r="A20" s="19">
        <f t="shared" si="6"/>
        <v>19</v>
      </c>
      <c r="B20" s="74" t="s">
        <v>76</v>
      </c>
      <c r="C20" s="111">
        <v>45737</v>
      </c>
      <c r="D20" s="111" t="s">
        <v>129</v>
      </c>
      <c r="E20" s="115" t="s">
        <v>130</v>
      </c>
      <c r="F20" s="111" t="s">
        <v>131</v>
      </c>
      <c r="G20" s="112">
        <v>36</v>
      </c>
      <c r="H20" s="8" t="s">
        <v>51</v>
      </c>
      <c r="I20" s="24" t="s">
        <v>132</v>
      </c>
      <c r="J20" s="45">
        <f>4*200</f>
        <v>800</v>
      </c>
      <c r="K20" s="113">
        <f t="shared" si="10"/>
        <v>72</v>
      </c>
      <c r="L20" s="40">
        <f t="shared" si="11"/>
        <v>72</v>
      </c>
      <c r="M20" s="40">
        <f t="shared" si="12"/>
        <v>0</v>
      </c>
      <c r="N20" s="41">
        <f t="shared" si="13"/>
        <v>944</v>
      </c>
      <c r="O20" s="21">
        <f>N20-Q20</f>
        <v>80</v>
      </c>
      <c r="P20" s="349">
        <f t="shared" si="15"/>
        <v>0.1</v>
      </c>
      <c r="Q20" s="23">
        <v>864</v>
      </c>
      <c r="R20" s="114">
        <v>45758</v>
      </c>
      <c r="S20" s="6" t="s">
        <v>74</v>
      </c>
      <c r="T20" s="10" t="s">
        <v>96</v>
      </c>
      <c r="U20" s="10"/>
      <c r="V20" s="10"/>
    </row>
    <row r="21" spans="1:22" ht="30" customHeight="1" x14ac:dyDescent="0.3">
      <c r="A21" s="19">
        <f t="shared" si="6"/>
        <v>20</v>
      </c>
      <c r="B21" s="74" t="s">
        <v>76</v>
      </c>
      <c r="C21" s="116">
        <v>45722</v>
      </c>
      <c r="D21" s="116" t="s">
        <v>70</v>
      </c>
      <c r="E21" s="140" t="s">
        <v>133</v>
      </c>
      <c r="F21" s="116" t="s">
        <v>134</v>
      </c>
      <c r="G21" s="117">
        <v>10</v>
      </c>
      <c r="H21" s="8" t="s">
        <v>39</v>
      </c>
      <c r="I21" s="24" t="s">
        <v>135</v>
      </c>
      <c r="J21" s="45">
        <v>39001</v>
      </c>
      <c r="K21" s="118">
        <f t="shared" si="10"/>
        <v>0</v>
      </c>
      <c r="L21" s="40">
        <f t="shared" si="11"/>
        <v>0</v>
      </c>
      <c r="M21" s="40">
        <f t="shared" si="12"/>
        <v>7020</v>
      </c>
      <c r="N21" s="41">
        <f t="shared" si="13"/>
        <v>46021</v>
      </c>
      <c r="O21" s="21">
        <f>N21-Q21</f>
        <v>117</v>
      </c>
      <c r="P21" s="349">
        <f t="shared" si="15"/>
        <v>2.999923078895413E-3</v>
      </c>
      <c r="Q21" s="23">
        <v>45904</v>
      </c>
      <c r="R21" s="119">
        <v>45762</v>
      </c>
      <c r="S21" s="6" t="s">
        <v>74</v>
      </c>
      <c r="T21" s="10" t="s">
        <v>136</v>
      </c>
      <c r="U21" s="22"/>
      <c r="V21" s="22"/>
    </row>
    <row r="22" spans="1:22" ht="30" customHeight="1" x14ac:dyDescent="0.3">
      <c r="A22" s="19">
        <f t="shared" si="6"/>
        <v>21</v>
      </c>
      <c r="B22" s="74" t="s">
        <v>76</v>
      </c>
      <c r="C22" s="120">
        <v>45741</v>
      </c>
      <c r="D22" s="120" t="s">
        <v>70</v>
      </c>
      <c r="E22" s="180" t="s">
        <v>137</v>
      </c>
      <c r="F22" s="120" t="s">
        <v>138</v>
      </c>
      <c r="G22" s="121">
        <v>36</v>
      </c>
      <c r="H22" s="8" t="s">
        <v>49</v>
      </c>
      <c r="I22" s="24" t="s">
        <v>139</v>
      </c>
      <c r="J22" s="45">
        <v>27131620</v>
      </c>
      <c r="K22" s="122">
        <f t="shared" si="10"/>
        <v>2441846</v>
      </c>
      <c r="L22" s="40">
        <f t="shared" si="11"/>
        <v>2441846</v>
      </c>
      <c r="M22" s="40">
        <f t="shared" si="12"/>
        <v>0</v>
      </c>
      <c r="N22" s="41">
        <f t="shared" si="13"/>
        <v>32015312</v>
      </c>
      <c r="O22" s="21">
        <f>J22*0.3%</f>
        <v>81394.86</v>
      </c>
      <c r="P22" s="349">
        <f t="shared" si="15"/>
        <v>3.0000000000000001E-3</v>
      </c>
      <c r="Q22" s="23">
        <f>K22+L22+27050225</f>
        <v>31933917</v>
      </c>
      <c r="R22" s="149" t="s">
        <v>173</v>
      </c>
      <c r="S22" s="6" t="s">
        <v>74</v>
      </c>
      <c r="T22" s="10" t="s">
        <v>96</v>
      </c>
      <c r="U22" s="24" t="s">
        <v>174</v>
      </c>
      <c r="V22" s="8"/>
    </row>
    <row r="23" spans="1:22" ht="30" customHeight="1" x14ac:dyDescent="0.3">
      <c r="A23" s="19">
        <f t="shared" si="6"/>
        <v>22</v>
      </c>
      <c r="B23" s="74" t="s">
        <v>76</v>
      </c>
      <c r="C23" s="120">
        <v>45741</v>
      </c>
      <c r="D23" s="120" t="s">
        <v>70</v>
      </c>
      <c r="E23" s="180" t="s">
        <v>140</v>
      </c>
      <c r="F23" s="120" t="s">
        <v>138</v>
      </c>
      <c r="G23" s="121">
        <v>36</v>
      </c>
      <c r="H23" s="8" t="s">
        <v>49</v>
      </c>
      <c r="I23" s="24" t="s">
        <v>141</v>
      </c>
      <c r="J23" s="45">
        <v>253947</v>
      </c>
      <c r="K23" s="122">
        <f t="shared" si="10"/>
        <v>22855</v>
      </c>
      <c r="L23" s="40">
        <f t="shared" si="11"/>
        <v>22855</v>
      </c>
      <c r="M23" s="40">
        <f t="shared" si="12"/>
        <v>0</v>
      </c>
      <c r="N23" s="41">
        <f t="shared" si="13"/>
        <v>299657</v>
      </c>
      <c r="O23" s="21">
        <f>J23*0.3%</f>
        <v>761.84100000000001</v>
      </c>
      <c r="P23" s="349">
        <f t="shared" si="15"/>
        <v>3.0000000000000001E-3</v>
      </c>
      <c r="Q23" s="23">
        <f>K23+L23+253185</f>
        <v>298895</v>
      </c>
      <c r="R23" s="149" t="s">
        <v>173</v>
      </c>
      <c r="S23" s="6" t="s">
        <v>74</v>
      </c>
      <c r="T23" s="10" t="s">
        <v>96</v>
      </c>
      <c r="U23" s="24" t="s">
        <v>175</v>
      </c>
      <c r="V23" s="8"/>
    </row>
    <row r="24" spans="1:22" ht="30" customHeight="1" x14ac:dyDescent="0.3">
      <c r="A24" s="19">
        <f t="shared" si="6"/>
        <v>23</v>
      </c>
      <c r="B24" s="74" t="s">
        <v>76</v>
      </c>
      <c r="C24" s="126">
        <v>45737</v>
      </c>
      <c r="D24" s="126" t="s">
        <v>129</v>
      </c>
      <c r="E24" s="140" t="s">
        <v>145</v>
      </c>
      <c r="F24" s="126" t="s">
        <v>146</v>
      </c>
      <c r="G24" s="127">
        <v>36</v>
      </c>
      <c r="H24" s="8" t="s">
        <v>52</v>
      </c>
      <c r="I24" s="24" t="s">
        <v>132</v>
      </c>
      <c r="J24" s="45">
        <f>89*200</f>
        <v>17800</v>
      </c>
      <c r="K24" s="128">
        <f t="shared" si="10"/>
        <v>1602</v>
      </c>
      <c r="L24" s="40">
        <f t="shared" si="11"/>
        <v>1602</v>
      </c>
      <c r="M24" s="40">
        <f t="shared" si="12"/>
        <v>0</v>
      </c>
      <c r="N24" s="41">
        <f t="shared" si="13"/>
        <v>21004</v>
      </c>
      <c r="O24" s="21">
        <f>N24-Q24</f>
        <v>1780</v>
      </c>
      <c r="P24" s="349">
        <f t="shared" si="15"/>
        <v>0.1</v>
      </c>
      <c r="Q24" s="23">
        <v>19224</v>
      </c>
      <c r="R24" s="129">
        <v>45764</v>
      </c>
      <c r="S24" s="6" t="s">
        <v>74</v>
      </c>
      <c r="T24" s="10" t="s">
        <v>147</v>
      </c>
      <c r="U24" s="24"/>
      <c r="V24" s="24"/>
    </row>
    <row r="25" spans="1:22" ht="30" customHeight="1" x14ac:dyDescent="0.3">
      <c r="A25" s="19">
        <f t="shared" si="6"/>
        <v>24</v>
      </c>
      <c r="B25" s="74" t="s">
        <v>76</v>
      </c>
      <c r="C25" s="133">
        <v>45747</v>
      </c>
      <c r="D25" s="133" t="s">
        <v>70</v>
      </c>
      <c r="E25" s="140" t="s">
        <v>152</v>
      </c>
      <c r="F25" s="133" t="s">
        <v>94</v>
      </c>
      <c r="G25" s="134">
        <v>24</v>
      </c>
      <c r="H25" s="8" t="s">
        <v>50</v>
      </c>
      <c r="I25" s="24" t="s">
        <v>153</v>
      </c>
      <c r="J25" s="45">
        <v>767824</v>
      </c>
      <c r="K25" s="135">
        <f t="shared" si="10"/>
        <v>0</v>
      </c>
      <c r="L25" s="40">
        <f t="shared" si="11"/>
        <v>0</v>
      </c>
      <c r="M25" s="40">
        <f t="shared" si="12"/>
        <v>138208</v>
      </c>
      <c r="N25" s="41">
        <f t="shared" si="13"/>
        <v>906032</v>
      </c>
      <c r="O25" s="21">
        <f>N25-Q25</f>
        <v>15355.680000000051</v>
      </c>
      <c r="P25" s="349">
        <f t="shared" ref="P25:P27" si="16">O25/J25</f>
        <v>1.9998958094563403E-2</v>
      </c>
      <c r="Q25" s="23">
        <v>890676.32</v>
      </c>
      <c r="R25" s="136">
        <v>45769</v>
      </c>
      <c r="S25" s="6" t="s">
        <v>74</v>
      </c>
      <c r="T25" s="10" t="s">
        <v>96</v>
      </c>
      <c r="U25" s="48"/>
      <c r="V25" s="48"/>
    </row>
    <row r="26" spans="1:22" ht="30" customHeight="1" x14ac:dyDescent="0.3">
      <c r="A26" s="19">
        <f t="shared" si="6"/>
        <v>25</v>
      </c>
      <c r="B26" s="74" t="s">
        <v>76</v>
      </c>
      <c r="C26" s="140">
        <v>45741</v>
      </c>
      <c r="D26" s="140" t="s">
        <v>70</v>
      </c>
      <c r="E26" s="140" t="s">
        <v>157</v>
      </c>
      <c r="F26" s="140" t="s">
        <v>158</v>
      </c>
      <c r="G26" s="141">
        <v>21</v>
      </c>
      <c r="H26" s="8" t="s">
        <v>56</v>
      </c>
      <c r="I26" s="24" t="s">
        <v>159</v>
      </c>
      <c r="J26" s="45">
        <v>50891</v>
      </c>
      <c r="K26" s="142">
        <f>ROUND(IF(G26=36,J26*9%,0),0)</f>
        <v>0</v>
      </c>
      <c r="L26" s="40">
        <f>ROUND(IF(G26=36,J26*9%,0),0)</f>
        <v>0</v>
      </c>
      <c r="M26" s="40">
        <f>ROUND(IF(G26=36,J26*0%,J26*18%),0)</f>
        <v>9160</v>
      </c>
      <c r="N26" s="41">
        <f t="shared" si="13"/>
        <v>60051</v>
      </c>
      <c r="O26" s="21">
        <f>J26*0.3%</f>
        <v>152.673</v>
      </c>
      <c r="P26" s="349">
        <f>O26/J26</f>
        <v>3.0000000000000001E-3</v>
      </c>
      <c r="Q26" s="23">
        <f>50738+9160</f>
        <v>59898</v>
      </c>
      <c r="R26" s="181" t="s">
        <v>252</v>
      </c>
      <c r="S26" s="6" t="s">
        <v>74</v>
      </c>
      <c r="T26" s="10" t="s">
        <v>96</v>
      </c>
      <c r="U26" s="24" t="s">
        <v>253</v>
      </c>
      <c r="V26" s="8"/>
    </row>
    <row r="27" spans="1:22" ht="30" customHeight="1" x14ac:dyDescent="0.3">
      <c r="A27" s="19">
        <f t="shared" si="6"/>
        <v>26</v>
      </c>
      <c r="B27" s="74" t="s">
        <v>76</v>
      </c>
      <c r="C27" s="140">
        <v>45747</v>
      </c>
      <c r="D27" s="140" t="s">
        <v>70</v>
      </c>
      <c r="E27" s="140" t="s">
        <v>155</v>
      </c>
      <c r="F27" s="140" t="s">
        <v>87</v>
      </c>
      <c r="G27" s="141">
        <v>24</v>
      </c>
      <c r="H27" s="8" t="s">
        <v>53</v>
      </c>
      <c r="I27" s="24" t="s">
        <v>156</v>
      </c>
      <c r="J27" s="45">
        <v>1240528</v>
      </c>
      <c r="K27" s="142">
        <f t="shared" si="10"/>
        <v>0</v>
      </c>
      <c r="L27" s="40">
        <f t="shared" si="11"/>
        <v>0</v>
      </c>
      <c r="M27" s="40">
        <f t="shared" si="12"/>
        <v>223295</v>
      </c>
      <c r="N27" s="41">
        <f t="shared" si="13"/>
        <v>1463823</v>
      </c>
      <c r="O27" s="21">
        <f>N27-Q27</f>
        <v>24810.959999999963</v>
      </c>
      <c r="P27" s="349">
        <f t="shared" si="16"/>
        <v>2.0000322443346673E-2</v>
      </c>
      <c r="Q27" s="23">
        <v>1439012.04</v>
      </c>
      <c r="R27" s="143">
        <v>45772</v>
      </c>
      <c r="S27" s="6" t="s">
        <v>74</v>
      </c>
      <c r="T27" s="10" t="s">
        <v>80</v>
      </c>
      <c r="U27" s="48"/>
      <c r="V27" s="48"/>
    </row>
    <row r="28" spans="1:22" ht="30" customHeight="1" x14ac:dyDescent="0.3">
      <c r="A28" s="19">
        <f t="shared" si="6"/>
        <v>27</v>
      </c>
      <c r="B28" s="74" t="s">
        <v>76</v>
      </c>
      <c r="C28" s="150">
        <v>45741</v>
      </c>
      <c r="D28" s="150" t="s">
        <v>70</v>
      </c>
      <c r="E28" s="150" t="s">
        <v>176</v>
      </c>
      <c r="F28" s="150" t="s">
        <v>134</v>
      </c>
      <c r="G28" s="151">
        <v>10</v>
      </c>
      <c r="H28" s="8" t="s">
        <v>39</v>
      </c>
      <c r="I28" s="24" t="s">
        <v>177</v>
      </c>
      <c r="J28" s="45">
        <v>39001</v>
      </c>
      <c r="K28" s="152">
        <f t="shared" si="10"/>
        <v>0</v>
      </c>
      <c r="L28" s="40">
        <f t="shared" si="11"/>
        <v>0</v>
      </c>
      <c r="M28" s="40">
        <f t="shared" si="12"/>
        <v>7020</v>
      </c>
      <c r="N28" s="41">
        <f t="shared" si="13"/>
        <v>46021</v>
      </c>
      <c r="O28" s="21">
        <f>N28-Q28</f>
        <v>116.81999999999971</v>
      </c>
      <c r="P28" s="349">
        <f>O28/J28</f>
        <v>2.9953078126201817E-3</v>
      </c>
      <c r="Q28" s="23">
        <v>45904.18</v>
      </c>
      <c r="R28" s="153">
        <v>45777</v>
      </c>
      <c r="S28" s="6" t="s">
        <v>74</v>
      </c>
      <c r="T28" s="10" t="s">
        <v>96</v>
      </c>
      <c r="U28" s="50"/>
      <c r="V28" s="50"/>
    </row>
    <row r="29" spans="1:22" ht="30" customHeight="1" x14ac:dyDescent="0.3">
      <c r="A29" s="19">
        <f t="shared" si="6"/>
        <v>28</v>
      </c>
      <c r="B29" s="74" t="s">
        <v>76</v>
      </c>
      <c r="C29" s="150">
        <v>45741</v>
      </c>
      <c r="D29" s="150" t="s">
        <v>70</v>
      </c>
      <c r="E29" s="150" t="s">
        <v>178</v>
      </c>
      <c r="F29" s="150" t="s">
        <v>134</v>
      </c>
      <c r="G29" s="151">
        <v>10</v>
      </c>
      <c r="H29" s="8" t="s">
        <v>39</v>
      </c>
      <c r="I29" s="24" t="s">
        <v>177</v>
      </c>
      <c r="J29" s="45">
        <v>60709</v>
      </c>
      <c r="K29" s="152">
        <f t="shared" si="10"/>
        <v>0</v>
      </c>
      <c r="L29" s="40">
        <f t="shared" si="11"/>
        <v>0</v>
      </c>
      <c r="M29" s="40">
        <f t="shared" si="12"/>
        <v>10928</v>
      </c>
      <c r="N29" s="41">
        <f t="shared" si="13"/>
        <v>71637</v>
      </c>
      <c r="O29" s="21">
        <f>N29-Q29</f>
        <v>6071.3800000000047</v>
      </c>
      <c r="P29" s="349">
        <f>O29/J29</f>
        <v>0.10000790657068977</v>
      </c>
      <c r="Q29" s="23">
        <v>65565.62</v>
      </c>
      <c r="R29" s="153">
        <v>45777</v>
      </c>
      <c r="S29" s="6" t="s">
        <v>74</v>
      </c>
      <c r="T29" s="10" t="s">
        <v>96</v>
      </c>
      <c r="U29" s="24"/>
      <c r="V29" s="24"/>
    </row>
    <row r="30" spans="1:22" ht="30" customHeight="1" x14ac:dyDescent="0.3">
      <c r="A30" s="19">
        <f t="shared" si="6"/>
        <v>29</v>
      </c>
      <c r="B30" s="74" t="s">
        <v>76</v>
      </c>
      <c r="C30" s="46"/>
      <c r="D30" s="60" t="s">
        <v>33</v>
      </c>
      <c r="E30" s="60"/>
      <c r="F30" s="60"/>
      <c r="G30" s="65"/>
      <c r="H30" s="8" t="s">
        <v>38</v>
      </c>
      <c r="I30" s="24"/>
      <c r="J30" s="45"/>
      <c r="K30" s="43"/>
      <c r="L30" s="40"/>
      <c r="M30" s="40"/>
      <c r="N30" s="41"/>
      <c r="O30" s="21"/>
      <c r="P30" s="349"/>
      <c r="Q30" s="23">
        <v>17498</v>
      </c>
      <c r="R30" s="153">
        <v>45777</v>
      </c>
      <c r="S30" s="6" t="s">
        <v>74</v>
      </c>
      <c r="T30" s="10" t="s">
        <v>124</v>
      </c>
      <c r="U30" s="24" t="s">
        <v>179</v>
      </c>
      <c r="V30" s="8"/>
    </row>
    <row r="31" spans="1:22" ht="30" customHeight="1" x14ac:dyDescent="0.3">
      <c r="A31" s="19">
        <f t="shared" si="6"/>
        <v>30</v>
      </c>
      <c r="B31" s="74" t="s">
        <v>76</v>
      </c>
      <c r="C31" s="46">
        <v>45757</v>
      </c>
      <c r="D31" s="75" t="s">
        <v>70</v>
      </c>
      <c r="E31" s="115" t="s">
        <v>127</v>
      </c>
      <c r="F31" s="110" t="s">
        <v>126</v>
      </c>
      <c r="G31" s="65">
        <v>24</v>
      </c>
      <c r="H31" s="8" t="s">
        <v>125</v>
      </c>
      <c r="I31" s="24" t="s">
        <v>128</v>
      </c>
      <c r="J31" s="45">
        <v>564859</v>
      </c>
      <c r="K31" s="43">
        <f t="shared" ref="K31:K34" si="17">ROUND(IF(G31=36,J31*9%,0),0)</f>
        <v>0</v>
      </c>
      <c r="L31" s="40">
        <f t="shared" ref="L31:L34" si="18">ROUND(IF(G31=36,J31*9%,0),0)</f>
        <v>0</v>
      </c>
      <c r="M31" s="40">
        <f t="shared" ref="M31:M34" si="19">ROUND(IF(G31=36,J31*0%,J31*18%),0)</f>
        <v>101675</v>
      </c>
      <c r="N31" s="41">
        <f t="shared" ref="N31:N34" si="20">J31+K31+L31+M31</f>
        <v>666534</v>
      </c>
      <c r="O31" s="21">
        <f>N31-Q31</f>
        <v>11297.380000000005</v>
      </c>
      <c r="P31" s="349">
        <f t="shared" ref="P31:P34" si="21">O31/J31</f>
        <v>2.0000354070661891E-2</v>
      </c>
      <c r="Q31" s="23">
        <v>655236.62</v>
      </c>
      <c r="R31" s="68">
        <v>45777</v>
      </c>
      <c r="S31" s="6" t="s">
        <v>74</v>
      </c>
      <c r="T31" s="10" t="s">
        <v>96</v>
      </c>
      <c r="U31" s="24"/>
      <c r="V31" s="24"/>
    </row>
    <row r="32" spans="1:22" ht="30" customHeight="1" x14ac:dyDescent="0.3">
      <c r="A32" s="19">
        <f t="shared" si="6"/>
        <v>31</v>
      </c>
      <c r="B32" s="159" t="s">
        <v>192</v>
      </c>
      <c r="C32" s="60">
        <v>45772</v>
      </c>
      <c r="D32" s="146" t="s">
        <v>70</v>
      </c>
      <c r="E32" s="180" t="s">
        <v>169</v>
      </c>
      <c r="F32" s="146" t="s">
        <v>78</v>
      </c>
      <c r="G32" s="147">
        <v>36</v>
      </c>
      <c r="H32" s="8" t="s">
        <v>53</v>
      </c>
      <c r="I32" s="24" t="s">
        <v>171</v>
      </c>
      <c r="J32" s="45">
        <v>719318</v>
      </c>
      <c r="K32" s="148">
        <f t="shared" si="17"/>
        <v>64739</v>
      </c>
      <c r="L32" s="40">
        <f t="shared" si="18"/>
        <v>64739</v>
      </c>
      <c r="M32" s="40">
        <f t="shared" si="19"/>
        <v>0</v>
      </c>
      <c r="N32" s="41">
        <f t="shared" si="20"/>
        <v>848796</v>
      </c>
      <c r="O32" s="21">
        <f>N32-Q32</f>
        <v>14386.359999999986</v>
      </c>
      <c r="P32" s="349">
        <f t="shared" si="21"/>
        <v>1.999999999999998E-2</v>
      </c>
      <c r="Q32" s="23">
        <f>N32-(J32*2%)</f>
        <v>834409.64</v>
      </c>
      <c r="R32" s="5">
        <v>45778</v>
      </c>
      <c r="S32" s="6" t="s">
        <v>74</v>
      </c>
      <c r="T32" s="10" t="s">
        <v>96</v>
      </c>
      <c r="U32" s="24"/>
      <c r="V32" s="24"/>
    </row>
    <row r="33" spans="1:22" ht="30" customHeight="1" x14ac:dyDescent="0.3">
      <c r="A33" s="19">
        <f t="shared" si="6"/>
        <v>32</v>
      </c>
      <c r="B33" s="159" t="s">
        <v>192</v>
      </c>
      <c r="C33" s="60">
        <v>45772</v>
      </c>
      <c r="D33" s="146" t="s">
        <v>70</v>
      </c>
      <c r="E33" s="146" t="s">
        <v>170</v>
      </c>
      <c r="F33" s="146" t="s">
        <v>78</v>
      </c>
      <c r="G33" s="147">
        <v>36</v>
      </c>
      <c r="H33" s="8" t="s">
        <v>53</v>
      </c>
      <c r="I33" s="24" t="s">
        <v>172</v>
      </c>
      <c r="J33" s="45">
        <v>40800</v>
      </c>
      <c r="K33" s="148">
        <f t="shared" si="17"/>
        <v>3672</v>
      </c>
      <c r="L33" s="40">
        <f t="shared" si="18"/>
        <v>3672</v>
      </c>
      <c r="M33" s="40">
        <f t="shared" si="19"/>
        <v>0</v>
      </c>
      <c r="N33" s="41">
        <f t="shared" si="20"/>
        <v>48144</v>
      </c>
      <c r="O33" s="21">
        <f>N33-Q33</f>
        <v>816</v>
      </c>
      <c r="P33" s="349">
        <f t="shared" si="21"/>
        <v>0.02</v>
      </c>
      <c r="Q33" s="23">
        <f>N33-(J33*2%)</f>
        <v>47328</v>
      </c>
      <c r="R33" s="5">
        <v>45778</v>
      </c>
      <c r="S33" s="6" t="s">
        <v>74</v>
      </c>
      <c r="T33" s="10" t="s">
        <v>96</v>
      </c>
      <c r="U33" s="24"/>
      <c r="V33" s="24"/>
    </row>
    <row r="34" spans="1:22" ht="30" customHeight="1" x14ac:dyDescent="0.3">
      <c r="A34" s="19">
        <f t="shared" si="6"/>
        <v>33</v>
      </c>
      <c r="B34" s="159" t="s">
        <v>192</v>
      </c>
      <c r="C34" s="46">
        <v>45751</v>
      </c>
      <c r="D34" s="75" t="s">
        <v>70</v>
      </c>
      <c r="E34" s="257" t="s">
        <v>83</v>
      </c>
      <c r="F34" s="75" t="s">
        <v>72</v>
      </c>
      <c r="G34" s="76">
        <v>24</v>
      </c>
      <c r="H34" s="8" t="s">
        <v>61</v>
      </c>
      <c r="I34" s="24" t="s">
        <v>85</v>
      </c>
      <c r="J34" s="162">
        <f>118935+8000</f>
        <v>126935</v>
      </c>
      <c r="K34" s="43">
        <f t="shared" si="17"/>
        <v>0</v>
      </c>
      <c r="L34" s="40">
        <f t="shared" si="18"/>
        <v>0</v>
      </c>
      <c r="M34" s="40">
        <f t="shared" si="19"/>
        <v>22848</v>
      </c>
      <c r="N34" s="41">
        <f t="shared" si="20"/>
        <v>149783</v>
      </c>
      <c r="O34" s="233">
        <f>N34-Q34</f>
        <v>2539</v>
      </c>
      <c r="P34" s="350">
        <f t="shared" si="21"/>
        <v>2.0002363414345924E-2</v>
      </c>
      <c r="Q34" s="41">
        <f>124396+22848</f>
        <v>147244</v>
      </c>
      <c r="R34" s="232" t="s">
        <v>392</v>
      </c>
      <c r="S34" s="6" t="s">
        <v>74</v>
      </c>
      <c r="T34" s="10" t="s">
        <v>75</v>
      </c>
      <c r="U34" s="8" t="s">
        <v>393</v>
      </c>
      <c r="V34" s="8"/>
    </row>
    <row r="35" spans="1:22" ht="30" customHeight="1" x14ac:dyDescent="0.3">
      <c r="A35" s="19">
        <f t="shared" si="6"/>
        <v>34</v>
      </c>
      <c r="B35" s="159" t="s">
        <v>192</v>
      </c>
      <c r="C35" s="46">
        <v>45780</v>
      </c>
      <c r="D35" s="160" t="s">
        <v>70</v>
      </c>
      <c r="E35" s="180" t="s">
        <v>206</v>
      </c>
      <c r="F35" s="160" t="s">
        <v>94</v>
      </c>
      <c r="G35" s="161">
        <v>24</v>
      </c>
      <c r="H35" s="8" t="s">
        <v>50</v>
      </c>
      <c r="I35" s="24" t="s">
        <v>204</v>
      </c>
      <c r="J35" s="162">
        <v>2995001</v>
      </c>
      <c r="K35" s="148">
        <v>0</v>
      </c>
      <c r="L35" s="40">
        <v>0</v>
      </c>
      <c r="M35" s="40">
        <v>539100</v>
      </c>
      <c r="N35" s="41">
        <v>3534101</v>
      </c>
      <c r="O35" s="21">
        <v>59900.020000000019</v>
      </c>
      <c r="P35" s="349">
        <v>2.0000000000000007E-2</v>
      </c>
      <c r="Q35" s="23">
        <v>3474200.98</v>
      </c>
      <c r="R35" s="44">
        <v>45784</v>
      </c>
      <c r="S35" s="6" t="s">
        <v>74</v>
      </c>
      <c r="T35" s="10" t="s">
        <v>96</v>
      </c>
      <c r="U35" s="24"/>
      <c r="V35" s="24"/>
    </row>
    <row r="36" spans="1:22" ht="30" customHeight="1" x14ac:dyDescent="0.3">
      <c r="A36" s="19">
        <f t="shared" si="6"/>
        <v>35</v>
      </c>
      <c r="B36" s="159" t="s">
        <v>192</v>
      </c>
      <c r="C36" s="46">
        <v>45779</v>
      </c>
      <c r="D36" s="160" t="s">
        <v>70</v>
      </c>
      <c r="E36" s="180" t="s">
        <v>180</v>
      </c>
      <c r="F36" s="160" t="s">
        <v>94</v>
      </c>
      <c r="G36" s="161">
        <v>24</v>
      </c>
      <c r="H36" s="8" t="s">
        <v>50</v>
      </c>
      <c r="I36" s="24" t="s">
        <v>193</v>
      </c>
      <c r="J36" s="162">
        <v>15718706</v>
      </c>
      <c r="K36" s="148">
        <v>0</v>
      </c>
      <c r="L36" s="40">
        <v>0</v>
      </c>
      <c r="M36" s="40">
        <v>2829367</v>
      </c>
      <c r="N36" s="41">
        <v>18548073</v>
      </c>
      <c r="O36" s="21">
        <v>314374.12000000104</v>
      </c>
      <c r="P36" s="349">
        <v>2.0000000000000066E-2</v>
      </c>
      <c r="Q36" s="23">
        <v>18233698.879999999</v>
      </c>
      <c r="R36" s="44">
        <v>45784</v>
      </c>
      <c r="S36" s="6" t="s">
        <v>74</v>
      </c>
      <c r="T36" s="10" t="s">
        <v>96</v>
      </c>
      <c r="U36" s="24"/>
      <c r="V36" s="24"/>
    </row>
    <row r="37" spans="1:22" ht="30" customHeight="1" x14ac:dyDescent="0.3">
      <c r="A37" s="19">
        <f t="shared" si="6"/>
        <v>36</v>
      </c>
      <c r="B37" s="159" t="s">
        <v>192</v>
      </c>
      <c r="C37" s="46">
        <v>45780</v>
      </c>
      <c r="D37" s="160" t="s">
        <v>70</v>
      </c>
      <c r="E37" s="180" t="s">
        <v>208</v>
      </c>
      <c r="F37" s="160" t="s">
        <v>105</v>
      </c>
      <c r="G37" s="161">
        <v>24</v>
      </c>
      <c r="H37" s="8" t="s">
        <v>60</v>
      </c>
      <c r="I37" s="24" t="s">
        <v>203</v>
      </c>
      <c r="J37" s="162">
        <v>1207959</v>
      </c>
      <c r="K37" s="148">
        <v>0</v>
      </c>
      <c r="L37" s="40">
        <v>0</v>
      </c>
      <c r="M37" s="40">
        <v>217433</v>
      </c>
      <c r="N37" s="41">
        <v>1425392</v>
      </c>
      <c r="O37" s="21">
        <v>24159.179999999935</v>
      </c>
      <c r="P37" s="349">
        <v>1.9999999999999945E-2</v>
      </c>
      <c r="Q37" s="23">
        <v>1401232.82</v>
      </c>
      <c r="R37" s="44">
        <v>45784</v>
      </c>
      <c r="S37" s="6" t="s">
        <v>74</v>
      </c>
      <c r="T37" s="10" t="s">
        <v>96</v>
      </c>
      <c r="U37" s="24"/>
      <c r="V37" s="24"/>
    </row>
    <row r="38" spans="1:22" ht="30" customHeight="1" x14ac:dyDescent="0.3">
      <c r="A38" s="19">
        <f t="shared" si="6"/>
        <v>37</v>
      </c>
      <c r="B38" s="159" t="s">
        <v>192</v>
      </c>
      <c r="C38" s="46">
        <v>45779</v>
      </c>
      <c r="D38" s="160" t="s">
        <v>70</v>
      </c>
      <c r="E38" s="180" t="s">
        <v>187</v>
      </c>
      <c r="F38" s="160" t="s">
        <v>105</v>
      </c>
      <c r="G38" s="161">
        <v>24</v>
      </c>
      <c r="H38" s="8" t="s">
        <v>60</v>
      </c>
      <c r="I38" s="24" t="s">
        <v>195</v>
      </c>
      <c r="J38" s="162">
        <v>5543752</v>
      </c>
      <c r="K38" s="148">
        <v>0</v>
      </c>
      <c r="L38" s="40">
        <v>0</v>
      </c>
      <c r="M38" s="40">
        <v>997875</v>
      </c>
      <c r="N38" s="41">
        <v>6541627</v>
      </c>
      <c r="O38" s="21">
        <v>110875.04000000004</v>
      </c>
      <c r="P38" s="349">
        <v>2.0000000000000007E-2</v>
      </c>
      <c r="Q38" s="23">
        <v>6430751.96</v>
      </c>
      <c r="R38" s="44">
        <v>45784</v>
      </c>
      <c r="S38" s="6" t="s">
        <v>74</v>
      </c>
      <c r="T38" s="10" t="s">
        <v>96</v>
      </c>
      <c r="U38" s="24"/>
      <c r="V38" s="24"/>
    </row>
    <row r="39" spans="1:22" ht="30" customHeight="1" x14ac:dyDescent="0.3">
      <c r="A39" s="19">
        <f t="shared" si="6"/>
        <v>38</v>
      </c>
      <c r="B39" s="159" t="s">
        <v>192</v>
      </c>
      <c r="C39" s="46">
        <v>45780</v>
      </c>
      <c r="D39" s="160" t="s">
        <v>70</v>
      </c>
      <c r="E39" s="180" t="s">
        <v>207</v>
      </c>
      <c r="F39" s="160" t="s">
        <v>87</v>
      </c>
      <c r="G39" s="161">
        <v>24</v>
      </c>
      <c r="H39" s="8" t="s">
        <v>53</v>
      </c>
      <c r="I39" s="24" t="s">
        <v>205</v>
      </c>
      <c r="J39" s="162">
        <v>3375632</v>
      </c>
      <c r="K39" s="148">
        <f t="shared" ref="K39:K62" si="22">ROUND(IF(G39=36,J39*9%,0),0)</f>
        <v>0</v>
      </c>
      <c r="L39" s="40">
        <f t="shared" ref="L39:L63" si="23">ROUND(IF(G39=36,J39*9%,0),0)</f>
        <v>0</v>
      </c>
      <c r="M39" s="40">
        <f t="shared" ref="M39:M61" si="24">ROUND(IF(G39=36,J39*0%,J39*18%),0)</f>
        <v>607614</v>
      </c>
      <c r="N39" s="41">
        <f t="shared" ref="N39:N64" si="25">J39+K39+L39+M39</f>
        <v>3983246</v>
      </c>
      <c r="O39" s="21">
        <f>N39-Q39</f>
        <v>67512.64000000013</v>
      </c>
      <c r="P39" s="349">
        <f t="shared" ref="P39:P40" si="26">O39/J39</f>
        <v>2.0000000000000039E-2</v>
      </c>
      <c r="Q39" s="23">
        <f>N39-(J39*2%)</f>
        <v>3915733.36</v>
      </c>
      <c r="R39" s="44">
        <v>45784</v>
      </c>
      <c r="S39" s="6" t="s">
        <v>74</v>
      </c>
      <c r="T39" s="10" t="s">
        <v>80</v>
      </c>
      <c r="U39" s="24"/>
      <c r="V39" s="24"/>
    </row>
    <row r="40" spans="1:22" ht="30" customHeight="1" x14ac:dyDescent="0.3">
      <c r="A40" s="19">
        <f t="shared" si="6"/>
        <v>39</v>
      </c>
      <c r="B40" s="159" t="s">
        <v>192</v>
      </c>
      <c r="C40" s="46">
        <v>45779</v>
      </c>
      <c r="D40" s="160" t="s">
        <v>70</v>
      </c>
      <c r="E40" s="180" t="s">
        <v>186</v>
      </c>
      <c r="F40" s="160" t="s">
        <v>87</v>
      </c>
      <c r="G40" s="161">
        <v>24</v>
      </c>
      <c r="H40" s="8" t="s">
        <v>53</v>
      </c>
      <c r="I40" s="24" t="s">
        <v>196</v>
      </c>
      <c r="J40" s="162">
        <v>20158745</v>
      </c>
      <c r="K40" s="148">
        <f t="shared" si="22"/>
        <v>0</v>
      </c>
      <c r="L40" s="40">
        <f t="shared" si="23"/>
        <v>0</v>
      </c>
      <c r="M40" s="40">
        <f t="shared" si="24"/>
        <v>3628574</v>
      </c>
      <c r="N40" s="41">
        <f t="shared" si="25"/>
        <v>23787319</v>
      </c>
      <c r="O40" s="21">
        <f>N40-Q40</f>
        <v>403174.89999999851</v>
      </c>
      <c r="P40" s="349">
        <f t="shared" si="26"/>
        <v>1.9999999999999928E-2</v>
      </c>
      <c r="Q40" s="23">
        <f>N40-(J40*2%)</f>
        <v>23384144.100000001</v>
      </c>
      <c r="R40" s="44">
        <v>45784</v>
      </c>
      <c r="S40" s="6" t="s">
        <v>74</v>
      </c>
      <c r="T40" s="10" t="s">
        <v>80</v>
      </c>
      <c r="U40" s="24"/>
      <c r="V40" s="24"/>
    </row>
    <row r="41" spans="1:22" ht="30" customHeight="1" x14ac:dyDescent="0.3">
      <c r="A41" s="19">
        <f t="shared" si="6"/>
        <v>40</v>
      </c>
      <c r="B41" s="159" t="s">
        <v>192</v>
      </c>
      <c r="C41" s="174">
        <v>45723</v>
      </c>
      <c r="D41" s="174" t="s">
        <v>33</v>
      </c>
      <c r="E41" s="174" t="s">
        <v>244</v>
      </c>
      <c r="F41" s="174" t="s">
        <v>37</v>
      </c>
      <c r="G41" s="175">
        <v>36</v>
      </c>
      <c r="H41" s="8" t="s">
        <v>38</v>
      </c>
      <c r="I41" s="24" t="s">
        <v>245</v>
      </c>
      <c r="J41" s="45">
        <f>((109000*2)+133333+(158333*2))</f>
        <v>667999</v>
      </c>
      <c r="K41" s="176">
        <f t="shared" si="22"/>
        <v>60120</v>
      </c>
      <c r="L41" s="40">
        <f t="shared" si="23"/>
        <v>60120</v>
      </c>
      <c r="M41" s="40">
        <f t="shared" si="24"/>
        <v>0</v>
      </c>
      <c r="N41" s="41">
        <f t="shared" si="25"/>
        <v>788239</v>
      </c>
      <c r="O41" s="21">
        <f>N41-Q41</f>
        <v>2004</v>
      </c>
      <c r="P41" s="349">
        <f>O41/J41</f>
        <v>3.0000044910246872E-3</v>
      </c>
      <c r="Q41" s="23">
        <v>786235</v>
      </c>
      <c r="R41" s="177">
        <v>45784</v>
      </c>
      <c r="S41" s="6" t="s">
        <v>74</v>
      </c>
      <c r="T41" s="10" t="s">
        <v>124</v>
      </c>
      <c r="U41" s="24"/>
      <c r="V41" s="24"/>
    </row>
    <row r="42" spans="1:22" ht="30" customHeight="1" x14ac:dyDescent="0.3">
      <c r="A42" s="19">
        <f t="shared" si="6"/>
        <v>41</v>
      </c>
      <c r="B42" s="159" t="s">
        <v>192</v>
      </c>
      <c r="C42" s="46">
        <v>45778</v>
      </c>
      <c r="D42" s="75" t="s">
        <v>70</v>
      </c>
      <c r="E42" s="257" t="s">
        <v>184</v>
      </c>
      <c r="F42" s="75" t="s">
        <v>72</v>
      </c>
      <c r="G42" s="76">
        <v>24</v>
      </c>
      <c r="H42" s="8" t="s">
        <v>61</v>
      </c>
      <c r="I42" s="24" t="s">
        <v>185</v>
      </c>
      <c r="J42" s="162">
        <v>253055</v>
      </c>
      <c r="K42" s="43">
        <f t="shared" si="22"/>
        <v>0</v>
      </c>
      <c r="L42" s="40">
        <f t="shared" si="23"/>
        <v>0</v>
      </c>
      <c r="M42" s="40">
        <f t="shared" si="24"/>
        <v>45550</v>
      </c>
      <c r="N42" s="41">
        <f t="shared" si="25"/>
        <v>298605</v>
      </c>
      <c r="O42" s="21">
        <f>N42-Q42</f>
        <v>5060.9000000000233</v>
      </c>
      <c r="P42" s="349">
        <f t="shared" ref="P42" si="27">O42/J42</f>
        <v>1.9999209657979581E-2</v>
      </c>
      <c r="Q42" s="23">
        <f>247994.1+45550</f>
        <v>293544.09999999998</v>
      </c>
      <c r="R42" s="232" t="s">
        <v>394</v>
      </c>
      <c r="S42" s="6" t="s">
        <v>74</v>
      </c>
      <c r="T42" s="10" t="s">
        <v>75</v>
      </c>
      <c r="U42" s="8" t="s">
        <v>395</v>
      </c>
      <c r="V42" s="8"/>
    </row>
    <row r="43" spans="1:22" ht="30" customHeight="1" x14ac:dyDescent="0.3">
      <c r="A43" s="19">
        <f t="shared" si="6"/>
        <v>42</v>
      </c>
      <c r="B43" s="159" t="s">
        <v>192</v>
      </c>
      <c r="C43" s="46">
        <v>45784</v>
      </c>
      <c r="D43" s="171" t="s">
        <v>70</v>
      </c>
      <c r="E43" s="164" t="s">
        <v>231</v>
      </c>
      <c r="F43" s="171" t="s">
        <v>110</v>
      </c>
      <c r="G43" s="172">
        <v>37</v>
      </c>
      <c r="H43" s="8" t="s">
        <v>59</v>
      </c>
      <c r="I43" s="24" t="s">
        <v>237</v>
      </c>
      <c r="J43" s="45">
        <v>9590912</v>
      </c>
      <c r="K43" s="173">
        <f t="shared" si="22"/>
        <v>0</v>
      </c>
      <c r="L43" s="40">
        <f t="shared" si="23"/>
        <v>0</v>
      </c>
      <c r="M43" s="40">
        <f t="shared" si="24"/>
        <v>1726364</v>
      </c>
      <c r="N43" s="41">
        <f t="shared" si="25"/>
        <v>11317276</v>
      </c>
      <c r="O43" s="21">
        <f t="shared" ref="O43" si="28">N43-Q43</f>
        <v>23977.669999999925</v>
      </c>
      <c r="P43" s="349">
        <f t="shared" ref="P43" si="29">O43/J43</f>
        <v>2.5000406634947672E-3</v>
      </c>
      <c r="Q43" s="23">
        <f>11125459.33+167839</f>
        <v>11293298.33</v>
      </c>
      <c r="R43" s="220" t="s">
        <v>365</v>
      </c>
      <c r="S43" s="6" t="s">
        <v>74</v>
      </c>
      <c r="T43" s="10" t="s">
        <v>248</v>
      </c>
      <c r="U43" s="8" t="s">
        <v>366</v>
      </c>
      <c r="V43" s="24"/>
    </row>
    <row r="44" spans="1:22" ht="30" customHeight="1" x14ac:dyDescent="0.3">
      <c r="A44" s="19">
        <f t="shared" si="6"/>
        <v>43</v>
      </c>
      <c r="B44" s="159" t="s">
        <v>192</v>
      </c>
      <c r="C44" s="46">
        <v>45784</v>
      </c>
      <c r="D44" s="171" t="s">
        <v>70</v>
      </c>
      <c r="E44" s="164" t="s">
        <v>235</v>
      </c>
      <c r="F44" s="171" t="s">
        <v>99</v>
      </c>
      <c r="G44" s="172">
        <v>27</v>
      </c>
      <c r="H44" s="8" t="s">
        <v>62</v>
      </c>
      <c r="I44" s="24" t="s">
        <v>242</v>
      </c>
      <c r="J44" s="45">
        <v>1284185</v>
      </c>
      <c r="K44" s="173">
        <f t="shared" si="22"/>
        <v>0</v>
      </c>
      <c r="L44" s="40">
        <f t="shared" si="23"/>
        <v>0</v>
      </c>
      <c r="M44" s="40">
        <f t="shared" si="24"/>
        <v>231153</v>
      </c>
      <c r="N44" s="41">
        <f t="shared" si="25"/>
        <v>1515338</v>
      </c>
      <c r="O44" s="21">
        <f t="shared" ref="O44:O49" si="30">N44-Q44</f>
        <v>25683.860000000102</v>
      </c>
      <c r="P44" s="349">
        <f t="shared" ref="P44:P56" si="31">O44/J44</f>
        <v>2.0000124592640549E-2</v>
      </c>
      <c r="Q44" s="41">
        <f>1489654.14</f>
        <v>1489654.14</v>
      </c>
      <c r="R44" s="5">
        <v>45787</v>
      </c>
      <c r="S44" s="6" t="s">
        <v>74</v>
      </c>
      <c r="T44" s="10" t="s">
        <v>248</v>
      </c>
      <c r="U44" s="24"/>
      <c r="V44" s="24"/>
    </row>
    <row r="45" spans="1:22" ht="30" customHeight="1" x14ac:dyDescent="0.3">
      <c r="A45" s="19">
        <f t="shared" si="6"/>
        <v>44</v>
      </c>
      <c r="B45" s="159" t="s">
        <v>192</v>
      </c>
      <c r="C45" s="46">
        <v>45784</v>
      </c>
      <c r="D45" s="171" t="s">
        <v>70</v>
      </c>
      <c r="E45" s="170" t="s">
        <v>233</v>
      </c>
      <c r="F45" s="171" t="s">
        <v>110</v>
      </c>
      <c r="G45" s="172">
        <v>37</v>
      </c>
      <c r="H45" s="8" t="s">
        <v>59</v>
      </c>
      <c r="I45" s="24" t="s">
        <v>240</v>
      </c>
      <c r="J45" s="45">
        <v>12865566</v>
      </c>
      <c r="K45" s="173">
        <f t="shared" si="22"/>
        <v>0</v>
      </c>
      <c r="L45" s="40">
        <f t="shared" si="23"/>
        <v>0</v>
      </c>
      <c r="M45" s="40">
        <f t="shared" si="24"/>
        <v>2315802</v>
      </c>
      <c r="N45" s="41">
        <f t="shared" si="25"/>
        <v>15181368</v>
      </c>
      <c r="O45" s="21">
        <f t="shared" si="30"/>
        <v>32163.519999999553</v>
      </c>
      <c r="P45" s="349">
        <f t="shared" si="31"/>
        <v>2.4999692978917177E-3</v>
      </c>
      <c r="Q45" s="23">
        <f>14924055.48+225149</f>
        <v>15149204.48</v>
      </c>
      <c r="R45" s="220" t="s">
        <v>365</v>
      </c>
      <c r="S45" s="6" t="s">
        <v>74</v>
      </c>
      <c r="T45" s="10" t="s">
        <v>248</v>
      </c>
      <c r="U45" s="8" t="s">
        <v>368</v>
      </c>
      <c r="V45" s="24"/>
    </row>
    <row r="46" spans="1:22" ht="30" customHeight="1" x14ac:dyDescent="0.3">
      <c r="A46" s="19">
        <f t="shared" si="6"/>
        <v>45</v>
      </c>
      <c r="B46" s="159" t="s">
        <v>192</v>
      </c>
      <c r="C46" s="46">
        <v>45784</v>
      </c>
      <c r="D46" s="171" t="s">
        <v>70</v>
      </c>
      <c r="E46" s="164" t="s">
        <v>236</v>
      </c>
      <c r="F46" s="171" t="s">
        <v>115</v>
      </c>
      <c r="G46" s="172">
        <v>5</v>
      </c>
      <c r="H46" s="8" t="s">
        <v>63</v>
      </c>
      <c r="I46" s="24" t="s">
        <v>243</v>
      </c>
      <c r="J46" s="45">
        <v>2160412</v>
      </c>
      <c r="K46" s="173">
        <f t="shared" si="22"/>
        <v>0</v>
      </c>
      <c r="L46" s="40">
        <f t="shared" si="23"/>
        <v>0</v>
      </c>
      <c r="M46" s="40">
        <f t="shared" si="24"/>
        <v>388874</v>
      </c>
      <c r="N46" s="41">
        <f t="shared" si="25"/>
        <v>2549286</v>
      </c>
      <c r="O46" s="21">
        <f t="shared" si="30"/>
        <v>43207.160000000149</v>
      </c>
      <c r="P46" s="349">
        <f t="shared" si="31"/>
        <v>1.999950009535225E-2</v>
      </c>
      <c r="Q46" s="41">
        <f>2506078.84</f>
        <v>2506078.84</v>
      </c>
      <c r="R46" s="5">
        <v>45787</v>
      </c>
      <c r="S46" s="6" t="s">
        <v>74</v>
      </c>
      <c r="T46" s="10" t="s">
        <v>248</v>
      </c>
      <c r="U46" s="66">
        <f t="shared" ref="U46" si="32">N46-O46-Q46</f>
        <v>0</v>
      </c>
      <c r="V46" s="24"/>
    </row>
    <row r="47" spans="1:22" ht="30" customHeight="1" x14ac:dyDescent="0.3">
      <c r="A47" s="19">
        <f t="shared" si="6"/>
        <v>46</v>
      </c>
      <c r="B47" s="159" t="s">
        <v>192</v>
      </c>
      <c r="C47" s="46">
        <v>45784</v>
      </c>
      <c r="D47" s="171" t="s">
        <v>70</v>
      </c>
      <c r="E47" s="164" t="s">
        <v>232</v>
      </c>
      <c r="F47" s="171" t="s">
        <v>110</v>
      </c>
      <c r="G47" s="172">
        <v>37</v>
      </c>
      <c r="H47" s="8" t="s">
        <v>59</v>
      </c>
      <c r="I47" s="24" t="s">
        <v>239</v>
      </c>
      <c r="J47" s="45">
        <v>6535037</v>
      </c>
      <c r="K47" s="173">
        <f t="shared" si="22"/>
        <v>0</v>
      </c>
      <c r="L47" s="40">
        <f t="shared" si="23"/>
        <v>0</v>
      </c>
      <c r="M47" s="40">
        <f t="shared" si="24"/>
        <v>1176307</v>
      </c>
      <c r="N47" s="41">
        <f t="shared" si="25"/>
        <v>7711344</v>
      </c>
      <c r="O47" s="21">
        <f t="shared" si="30"/>
        <v>16337.139999999665</v>
      </c>
      <c r="P47" s="349">
        <f t="shared" si="31"/>
        <v>2.4999307578518169E-3</v>
      </c>
      <c r="Q47" s="23">
        <f>7580642.86+114364</f>
        <v>7695006.8600000003</v>
      </c>
      <c r="R47" s="220" t="s">
        <v>365</v>
      </c>
      <c r="S47" s="6" t="s">
        <v>74</v>
      </c>
      <c r="T47" s="10" t="s">
        <v>248</v>
      </c>
      <c r="U47" s="8" t="s">
        <v>367</v>
      </c>
      <c r="V47" s="24"/>
    </row>
    <row r="48" spans="1:22" ht="30" customHeight="1" x14ac:dyDescent="0.3">
      <c r="A48" s="19">
        <f t="shared" si="6"/>
        <v>47</v>
      </c>
      <c r="B48" s="159" t="s">
        <v>192</v>
      </c>
      <c r="C48" s="46">
        <v>45784</v>
      </c>
      <c r="D48" s="171" t="s">
        <v>70</v>
      </c>
      <c r="E48" s="164" t="s">
        <v>234</v>
      </c>
      <c r="F48" s="171" t="s">
        <v>99</v>
      </c>
      <c r="G48" s="172">
        <v>27</v>
      </c>
      <c r="H48" s="8" t="s">
        <v>62</v>
      </c>
      <c r="I48" s="24" t="s">
        <v>241</v>
      </c>
      <c r="J48" s="45">
        <v>1011958</v>
      </c>
      <c r="K48" s="173">
        <f t="shared" si="22"/>
        <v>0</v>
      </c>
      <c r="L48" s="40">
        <f t="shared" si="23"/>
        <v>0</v>
      </c>
      <c r="M48" s="40">
        <f t="shared" si="24"/>
        <v>182152</v>
      </c>
      <c r="N48" s="41">
        <f t="shared" si="25"/>
        <v>1194110</v>
      </c>
      <c r="O48" s="21">
        <f t="shared" si="30"/>
        <v>20238.679999999935</v>
      </c>
      <c r="P48" s="349">
        <f t="shared" si="31"/>
        <v>1.999952567201399E-2</v>
      </c>
      <c r="Q48" s="41">
        <f>1173871.32</f>
        <v>1173871.32</v>
      </c>
      <c r="R48" s="5">
        <v>45787</v>
      </c>
      <c r="S48" s="6" t="s">
        <v>74</v>
      </c>
      <c r="T48" s="10" t="s">
        <v>248</v>
      </c>
      <c r="U48" s="66"/>
      <c r="V48" s="24"/>
    </row>
    <row r="49" spans="1:22" ht="30" customHeight="1" x14ac:dyDescent="0.3">
      <c r="A49" s="19">
        <f t="shared" si="6"/>
        <v>48</v>
      </c>
      <c r="B49" s="159" t="s">
        <v>192</v>
      </c>
      <c r="C49" s="46">
        <v>45784</v>
      </c>
      <c r="D49" s="171" t="s">
        <v>70</v>
      </c>
      <c r="E49" s="178" t="s">
        <v>230</v>
      </c>
      <c r="F49" s="171" t="s">
        <v>72</v>
      </c>
      <c r="G49" s="172">
        <v>24</v>
      </c>
      <c r="H49" s="8" t="s">
        <v>61</v>
      </c>
      <c r="I49" s="24" t="s">
        <v>238</v>
      </c>
      <c r="J49" s="45">
        <v>3078104</v>
      </c>
      <c r="K49" s="173">
        <f t="shared" si="22"/>
        <v>0</v>
      </c>
      <c r="L49" s="40">
        <f t="shared" si="23"/>
        <v>0</v>
      </c>
      <c r="M49" s="40">
        <f t="shared" si="24"/>
        <v>554059</v>
      </c>
      <c r="N49" s="41">
        <f t="shared" si="25"/>
        <v>3632163</v>
      </c>
      <c r="O49" s="21">
        <f t="shared" si="30"/>
        <v>61562.279999999795</v>
      </c>
      <c r="P49" s="349">
        <f t="shared" si="31"/>
        <v>2.0000064975062504E-2</v>
      </c>
      <c r="Q49" s="41">
        <v>3570600.72</v>
      </c>
      <c r="R49" s="5">
        <v>45789</v>
      </c>
      <c r="S49" s="6" t="s">
        <v>74</v>
      </c>
      <c r="T49" s="10" t="s">
        <v>75</v>
      </c>
      <c r="U49" s="10"/>
      <c r="V49" s="10"/>
    </row>
    <row r="50" spans="1:22" ht="30" customHeight="1" x14ac:dyDescent="0.3">
      <c r="A50" s="19">
        <f t="shared" si="6"/>
        <v>49</v>
      </c>
      <c r="B50" s="159" t="s">
        <v>192</v>
      </c>
      <c r="C50" s="60">
        <v>45772</v>
      </c>
      <c r="D50" s="144" t="s">
        <v>129</v>
      </c>
      <c r="E50" s="130" t="s">
        <v>161</v>
      </c>
      <c r="F50" s="144" t="s">
        <v>165</v>
      </c>
      <c r="G50" s="145">
        <v>36</v>
      </c>
      <c r="H50" s="8" t="s">
        <v>26</v>
      </c>
      <c r="I50" s="24" t="s">
        <v>168</v>
      </c>
      <c r="J50" s="45">
        <v>14200</v>
      </c>
      <c r="K50" s="139">
        <f>ROUND(IF(G50=36,J50*9%,0),0)</f>
        <v>1278</v>
      </c>
      <c r="L50" s="40">
        <f>ROUND(IF(G50=36,J50*9%,0),0)</f>
        <v>1278</v>
      </c>
      <c r="M50" s="40">
        <f>ROUND(IF(G50=36,J50*0%,J50*18%),0)</f>
        <v>0</v>
      </c>
      <c r="N50" s="41">
        <f>J50+K50+L50+M50</f>
        <v>16756</v>
      </c>
      <c r="O50" s="21">
        <f>N50-Q50</f>
        <v>1420</v>
      </c>
      <c r="P50" s="349">
        <f>O50/J50</f>
        <v>0.1</v>
      </c>
      <c r="Q50" s="41">
        <v>15336</v>
      </c>
      <c r="R50" s="5">
        <v>45789</v>
      </c>
      <c r="S50" s="6" t="s">
        <v>74</v>
      </c>
      <c r="T50" s="10" t="s">
        <v>251</v>
      </c>
      <c r="U50" s="10"/>
      <c r="V50" s="10"/>
    </row>
    <row r="51" spans="1:22" ht="30" customHeight="1" x14ac:dyDescent="0.3">
      <c r="A51" s="19">
        <f t="shared" si="6"/>
        <v>50</v>
      </c>
      <c r="B51" s="159" t="s">
        <v>192</v>
      </c>
      <c r="C51" s="60">
        <v>45772</v>
      </c>
      <c r="D51" s="144" t="s">
        <v>129</v>
      </c>
      <c r="E51" s="130" t="s">
        <v>162</v>
      </c>
      <c r="F51" s="144" t="s">
        <v>166</v>
      </c>
      <c r="G51" s="145">
        <v>36</v>
      </c>
      <c r="H51" s="8" t="s">
        <v>27</v>
      </c>
      <c r="I51" s="24" t="s">
        <v>168</v>
      </c>
      <c r="J51" s="45">
        <v>15400</v>
      </c>
      <c r="K51" s="139">
        <f>ROUND(IF(G51=36,J51*9%,0),0)</f>
        <v>1386</v>
      </c>
      <c r="L51" s="40">
        <f>ROUND(IF(G51=36,J51*9%,0),0)</f>
        <v>1386</v>
      </c>
      <c r="M51" s="40">
        <f>ROUND(IF(G51=36,J51*0%,J51*18%),0)</f>
        <v>0</v>
      </c>
      <c r="N51" s="41">
        <f>J51+K51+L51+M51</f>
        <v>18172</v>
      </c>
      <c r="O51" s="21">
        <f>N51-Q51</f>
        <v>1540</v>
      </c>
      <c r="P51" s="349">
        <f>O51/J51</f>
        <v>0.1</v>
      </c>
      <c r="Q51" s="41">
        <v>16632</v>
      </c>
      <c r="R51" s="5">
        <v>45789</v>
      </c>
      <c r="S51" s="6" t="s">
        <v>74</v>
      </c>
      <c r="T51" s="10" t="s">
        <v>251</v>
      </c>
      <c r="U51" s="10"/>
      <c r="V51" s="10"/>
    </row>
    <row r="52" spans="1:22" ht="30" customHeight="1" x14ac:dyDescent="0.3">
      <c r="A52" s="19">
        <f t="shared" si="6"/>
        <v>51</v>
      </c>
      <c r="B52" s="159" t="s">
        <v>192</v>
      </c>
      <c r="C52" s="60">
        <v>45772</v>
      </c>
      <c r="D52" s="144" t="s">
        <v>129</v>
      </c>
      <c r="E52" s="123" t="s">
        <v>160</v>
      </c>
      <c r="F52" s="144" t="s">
        <v>164</v>
      </c>
      <c r="G52" s="145">
        <v>36</v>
      </c>
      <c r="H52" s="8" t="s">
        <v>28</v>
      </c>
      <c r="I52" s="24" t="s">
        <v>168</v>
      </c>
      <c r="J52" s="45">
        <v>15800</v>
      </c>
      <c r="K52" s="139">
        <f t="shared" si="22"/>
        <v>1422</v>
      </c>
      <c r="L52" s="40">
        <f t="shared" si="23"/>
        <v>1422</v>
      </c>
      <c r="M52" s="40">
        <f t="shared" si="24"/>
        <v>0</v>
      </c>
      <c r="N52" s="41">
        <f t="shared" si="25"/>
        <v>18644</v>
      </c>
      <c r="O52" s="21">
        <f>N52-Q52</f>
        <v>1580</v>
      </c>
      <c r="P52" s="349">
        <f t="shared" si="31"/>
        <v>0.1</v>
      </c>
      <c r="Q52" s="41">
        <v>17064</v>
      </c>
      <c r="R52" s="5">
        <v>45789</v>
      </c>
      <c r="S52" s="6" t="s">
        <v>74</v>
      </c>
      <c r="T52" s="10" t="s">
        <v>251</v>
      </c>
      <c r="U52" s="10"/>
      <c r="V52" s="10"/>
    </row>
    <row r="53" spans="1:22" ht="30" customHeight="1" x14ac:dyDescent="0.3">
      <c r="A53" s="19">
        <f t="shared" si="6"/>
        <v>52</v>
      </c>
      <c r="B53" s="159" t="s">
        <v>192</v>
      </c>
      <c r="C53" s="60">
        <v>45772</v>
      </c>
      <c r="D53" s="144" t="s">
        <v>129</v>
      </c>
      <c r="E53" s="137" t="s">
        <v>163</v>
      </c>
      <c r="F53" s="144" t="s">
        <v>167</v>
      </c>
      <c r="G53" s="145">
        <v>36</v>
      </c>
      <c r="H53" s="8" t="s">
        <v>31</v>
      </c>
      <c r="I53" s="24" t="s">
        <v>168</v>
      </c>
      <c r="J53" s="45">
        <v>16200</v>
      </c>
      <c r="K53" s="139">
        <f t="shared" si="22"/>
        <v>1458</v>
      </c>
      <c r="L53" s="40">
        <f t="shared" si="23"/>
        <v>1458</v>
      </c>
      <c r="M53" s="40">
        <f t="shared" si="24"/>
        <v>0</v>
      </c>
      <c r="N53" s="41">
        <f t="shared" si="25"/>
        <v>19116</v>
      </c>
      <c r="O53" s="21">
        <f>N53-Q53</f>
        <v>1620</v>
      </c>
      <c r="P53" s="349">
        <f t="shared" si="31"/>
        <v>0.1</v>
      </c>
      <c r="Q53" s="41">
        <v>17496</v>
      </c>
      <c r="R53" s="5">
        <v>45789</v>
      </c>
      <c r="S53" s="6" t="s">
        <v>74</v>
      </c>
      <c r="T53" s="10" t="s">
        <v>251</v>
      </c>
      <c r="U53" s="10"/>
      <c r="V53" s="10"/>
    </row>
    <row r="54" spans="1:22" ht="30" customHeight="1" x14ac:dyDescent="0.3">
      <c r="A54" s="19">
        <f t="shared" si="6"/>
        <v>53</v>
      </c>
      <c r="B54" s="159" t="s">
        <v>192</v>
      </c>
      <c r="C54" s="46">
        <v>45783</v>
      </c>
      <c r="D54" s="75" t="s">
        <v>70</v>
      </c>
      <c r="E54" s="187" t="s">
        <v>228</v>
      </c>
      <c r="F54" s="110" t="s">
        <v>126</v>
      </c>
      <c r="G54" s="65">
        <v>24</v>
      </c>
      <c r="H54" s="8" t="s">
        <v>125</v>
      </c>
      <c r="I54" s="24" t="s">
        <v>229</v>
      </c>
      <c r="J54" s="45">
        <v>2475292</v>
      </c>
      <c r="K54" s="43">
        <f t="shared" si="22"/>
        <v>0</v>
      </c>
      <c r="L54" s="40">
        <f t="shared" si="23"/>
        <v>0</v>
      </c>
      <c r="M54" s="40">
        <f t="shared" si="24"/>
        <v>445553</v>
      </c>
      <c r="N54" s="41">
        <f t="shared" si="25"/>
        <v>2920845</v>
      </c>
      <c r="O54" s="21">
        <f t="shared" ref="O54:O56" si="33">N54-Q54</f>
        <v>6188</v>
      </c>
      <c r="P54" s="349">
        <f t="shared" si="31"/>
        <v>2.4999070816695565E-3</v>
      </c>
      <c r="Q54" s="23">
        <v>2914657</v>
      </c>
      <c r="R54" s="5">
        <v>45790</v>
      </c>
      <c r="S54" s="6" t="s">
        <v>74</v>
      </c>
      <c r="T54" s="10" t="s">
        <v>136</v>
      </c>
      <c r="U54" s="10"/>
      <c r="V54" s="10"/>
    </row>
    <row r="55" spans="1:22" ht="30" customHeight="1" x14ac:dyDescent="0.3">
      <c r="A55" s="19">
        <f t="shared" si="6"/>
        <v>54</v>
      </c>
      <c r="B55" s="159" t="s">
        <v>192</v>
      </c>
      <c r="C55" s="46">
        <v>45778</v>
      </c>
      <c r="D55" s="160" t="s">
        <v>70</v>
      </c>
      <c r="E55" s="187" t="s">
        <v>182</v>
      </c>
      <c r="F55" s="160" t="s">
        <v>87</v>
      </c>
      <c r="G55" s="161">
        <v>24</v>
      </c>
      <c r="H55" s="8" t="s">
        <v>53</v>
      </c>
      <c r="I55" s="24" t="s">
        <v>183</v>
      </c>
      <c r="J55" s="162">
        <v>537734</v>
      </c>
      <c r="K55" s="148">
        <f t="shared" si="22"/>
        <v>0</v>
      </c>
      <c r="L55" s="40">
        <f t="shared" si="23"/>
        <v>0</v>
      </c>
      <c r="M55" s="40">
        <f t="shared" si="24"/>
        <v>96792</v>
      </c>
      <c r="N55" s="41">
        <f t="shared" si="25"/>
        <v>634526</v>
      </c>
      <c r="O55" s="21">
        <f t="shared" si="33"/>
        <v>10754.680000000051</v>
      </c>
      <c r="P55" s="349">
        <f t="shared" si="31"/>
        <v>2.0000000000000094E-2</v>
      </c>
      <c r="Q55" s="23">
        <f>N55-(J55*2%)</f>
        <v>623771.31999999995</v>
      </c>
      <c r="R55" s="51">
        <v>45790</v>
      </c>
      <c r="S55" s="6" t="s">
        <v>74</v>
      </c>
      <c r="T55" s="10" t="s">
        <v>80</v>
      </c>
      <c r="U55" s="10"/>
      <c r="V55" s="10"/>
    </row>
    <row r="56" spans="1:22" ht="30" customHeight="1" x14ac:dyDescent="0.3">
      <c r="A56" s="19">
        <f t="shared" si="6"/>
        <v>55</v>
      </c>
      <c r="B56" s="159" t="s">
        <v>192</v>
      </c>
      <c r="C56" s="46">
        <v>45780</v>
      </c>
      <c r="D56" s="75" t="s">
        <v>70</v>
      </c>
      <c r="E56" s="187" t="s">
        <v>199</v>
      </c>
      <c r="F56" s="75" t="s">
        <v>87</v>
      </c>
      <c r="G56" s="76">
        <v>24</v>
      </c>
      <c r="H56" s="8" t="s">
        <v>53</v>
      </c>
      <c r="I56" s="24" t="s">
        <v>202</v>
      </c>
      <c r="J56" s="162">
        <v>182133</v>
      </c>
      <c r="K56" s="43">
        <f t="shared" si="22"/>
        <v>0</v>
      </c>
      <c r="L56" s="40">
        <f t="shared" si="23"/>
        <v>0</v>
      </c>
      <c r="M56" s="40">
        <f t="shared" si="24"/>
        <v>32784</v>
      </c>
      <c r="N56" s="41">
        <f t="shared" si="25"/>
        <v>214917</v>
      </c>
      <c r="O56" s="21">
        <f t="shared" si="33"/>
        <v>3642.6600000000035</v>
      </c>
      <c r="P56" s="349">
        <f t="shared" si="31"/>
        <v>2.0000000000000018E-2</v>
      </c>
      <c r="Q56" s="23">
        <f>N56-(J56*2%)</f>
        <v>211274.34</v>
      </c>
      <c r="R56" s="51">
        <v>45790</v>
      </c>
      <c r="S56" s="6" t="s">
        <v>74</v>
      </c>
      <c r="T56" s="10" t="s">
        <v>80</v>
      </c>
      <c r="U56" s="10"/>
      <c r="V56" s="10"/>
    </row>
    <row r="57" spans="1:22" ht="30" customHeight="1" x14ac:dyDescent="0.3">
      <c r="A57" s="19">
        <f t="shared" si="6"/>
        <v>56</v>
      </c>
      <c r="B57" s="159" t="s">
        <v>192</v>
      </c>
      <c r="C57" s="46">
        <v>45782</v>
      </c>
      <c r="D57" s="167" t="s">
        <v>70</v>
      </c>
      <c r="E57" s="221" t="s">
        <v>221</v>
      </c>
      <c r="F57" s="167" t="s">
        <v>158</v>
      </c>
      <c r="G57" s="168">
        <v>21</v>
      </c>
      <c r="H57" s="8" t="s">
        <v>56</v>
      </c>
      <c r="I57" s="24" t="s">
        <v>225</v>
      </c>
      <c r="J57" s="45">
        <v>42925</v>
      </c>
      <c r="K57" s="169">
        <f t="shared" si="22"/>
        <v>0</v>
      </c>
      <c r="L57" s="40">
        <f t="shared" si="23"/>
        <v>0</v>
      </c>
      <c r="M57" s="40">
        <f t="shared" si="24"/>
        <v>7727</v>
      </c>
      <c r="N57" s="41">
        <f t="shared" si="25"/>
        <v>50652</v>
      </c>
      <c r="O57" s="21">
        <v>107</v>
      </c>
      <c r="P57" s="349">
        <f>O57/J57</f>
        <v>2.4927198602213161E-3</v>
      </c>
      <c r="Q57" s="23">
        <f>30762.62+19782</f>
        <v>50544.619999999995</v>
      </c>
      <c r="R57" s="263" t="s">
        <v>525</v>
      </c>
      <c r="S57" s="6" t="s">
        <v>74</v>
      </c>
      <c r="T57" s="10" t="s">
        <v>96</v>
      </c>
      <c r="U57" s="66">
        <f>ROUND(N57-O57-Q57,0)</f>
        <v>0</v>
      </c>
      <c r="V57" s="24" t="s">
        <v>369</v>
      </c>
    </row>
    <row r="58" spans="1:22" ht="30" customHeight="1" x14ac:dyDescent="0.3">
      <c r="A58" s="19">
        <f t="shared" si="6"/>
        <v>57</v>
      </c>
      <c r="B58" s="159" t="s">
        <v>192</v>
      </c>
      <c r="C58" s="46">
        <v>45784</v>
      </c>
      <c r="D58" s="160" t="s">
        <v>70</v>
      </c>
      <c r="E58" s="187" t="s">
        <v>197</v>
      </c>
      <c r="F58" s="160" t="s">
        <v>94</v>
      </c>
      <c r="G58" s="161">
        <v>24</v>
      </c>
      <c r="H58" s="8" t="s">
        <v>50</v>
      </c>
      <c r="I58" s="24" t="s">
        <v>200</v>
      </c>
      <c r="J58" s="162">
        <v>802540</v>
      </c>
      <c r="K58" s="148">
        <f t="shared" si="22"/>
        <v>0</v>
      </c>
      <c r="L58" s="40">
        <f t="shared" si="23"/>
        <v>0</v>
      </c>
      <c r="M58" s="40">
        <f t="shared" si="24"/>
        <v>144457</v>
      </c>
      <c r="N58" s="41">
        <f t="shared" si="25"/>
        <v>946997</v>
      </c>
      <c r="O58" s="21">
        <f>N58-Q58</f>
        <v>16050.800000000047</v>
      </c>
      <c r="P58" s="349">
        <f>O58/J58</f>
        <v>2.0000000000000059E-2</v>
      </c>
      <c r="Q58" s="23">
        <f>930946.2</f>
        <v>930946.2</v>
      </c>
      <c r="R58" s="44">
        <v>45796</v>
      </c>
      <c r="S58" s="6" t="s">
        <v>74</v>
      </c>
      <c r="T58" s="10" t="s">
        <v>96</v>
      </c>
      <c r="U58" s="10"/>
      <c r="V58" s="10"/>
    </row>
    <row r="59" spans="1:22" ht="30" customHeight="1" x14ac:dyDescent="0.3">
      <c r="A59" s="19">
        <f t="shared" si="6"/>
        <v>58</v>
      </c>
      <c r="B59" s="159" t="s">
        <v>192</v>
      </c>
      <c r="C59" s="60">
        <v>45765</v>
      </c>
      <c r="D59" s="130" t="s">
        <v>129</v>
      </c>
      <c r="E59" s="187" t="s">
        <v>149</v>
      </c>
      <c r="F59" s="130" t="s">
        <v>131</v>
      </c>
      <c r="G59" s="131">
        <v>36</v>
      </c>
      <c r="H59" s="8" t="s">
        <v>51</v>
      </c>
      <c r="I59" s="24" t="s">
        <v>150</v>
      </c>
      <c r="J59" s="45">
        <f>4*200</f>
        <v>800</v>
      </c>
      <c r="K59" s="132">
        <f t="shared" si="22"/>
        <v>72</v>
      </c>
      <c r="L59" s="40">
        <f t="shared" si="23"/>
        <v>72</v>
      </c>
      <c r="M59" s="40">
        <f t="shared" si="24"/>
        <v>0</v>
      </c>
      <c r="N59" s="41">
        <f t="shared" si="25"/>
        <v>944</v>
      </c>
      <c r="O59" s="21">
        <f>N59-Q59</f>
        <v>80</v>
      </c>
      <c r="P59" s="349">
        <f t="shared" ref="P59:P61" si="34">O59/J59</f>
        <v>0.1</v>
      </c>
      <c r="Q59" s="23">
        <v>864</v>
      </c>
      <c r="R59" s="5">
        <v>45796</v>
      </c>
      <c r="S59" s="6" t="s">
        <v>74</v>
      </c>
      <c r="T59" s="10" t="s">
        <v>147</v>
      </c>
      <c r="U59" s="10"/>
      <c r="V59" s="10"/>
    </row>
    <row r="60" spans="1:22" ht="30" customHeight="1" x14ac:dyDescent="0.3">
      <c r="A60" s="19">
        <f t="shared" si="6"/>
        <v>59</v>
      </c>
      <c r="B60" s="159" t="s">
        <v>192</v>
      </c>
      <c r="C60" s="182">
        <v>45694</v>
      </c>
      <c r="D60" s="182" t="s">
        <v>33</v>
      </c>
      <c r="E60" s="262" t="s">
        <v>254</v>
      </c>
      <c r="F60" s="252" t="s">
        <v>34</v>
      </c>
      <c r="G60" s="253">
        <v>36</v>
      </c>
      <c r="H60" s="8" t="s">
        <v>55</v>
      </c>
      <c r="I60" s="24" t="s">
        <v>255</v>
      </c>
      <c r="J60" s="45">
        <f>(72050*26)+(53350*1)+(99751*6)</f>
        <v>2525156</v>
      </c>
      <c r="K60" s="254">
        <f t="shared" si="22"/>
        <v>227264</v>
      </c>
      <c r="L60" s="40">
        <f t="shared" si="23"/>
        <v>227264</v>
      </c>
      <c r="M60" s="40">
        <f t="shared" si="24"/>
        <v>0</v>
      </c>
      <c r="N60" s="41">
        <f t="shared" si="25"/>
        <v>2979684</v>
      </c>
      <c r="O60" s="21">
        <f>J60*0.3%</f>
        <v>7575.4679999999998</v>
      </c>
      <c r="P60" s="349">
        <f t="shared" si="34"/>
        <v>3.0000000000000001E-3</v>
      </c>
      <c r="Q60" s="23">
        <f>N60-(J60*10%)+244940.132</f>
        <v>2972108.5320000001</v>
      </c>
      <c r="R60" s="255" t="s">
        <v>517</v>
      </c>
      <c r="S60" s="6" t="s">
        <v>74</v>
      </c>
      <c r="T60" s="10" t="s">
        <v>124</v>
      </c>
      <c r="U60" s="256">
        <f t="shared" ref="U60:U61" si="35">N60-O60-Q60</f>
        <v>0</v>
      </c>
      <c r="V60" s="8" t="s">
        <v>518</v>
      </c>
    </row>
    <row r="61" spans="1:22" ht="30" customHeight="1" x14ac:dyDescent="0.3">
      <c r="A61" s="19">
        <f t="shared" si="6"/>
        <v>60</v>
      </c>
      <c r="B61" s="159" t="s">
        <v>192</v>
      </c>
      <c r="C61" s="182">
        <v>45694</v>
      </c>
      <c r="D61" s="182" t="s">
        <v>33</v>
      </c>
      <c r="E61" s="252" t="s">
        <v>256</v>
      </c>
      <c r="F61" s="252" t="s">
        <v>34</v>
      </c>
      <c r="G61" s="253">
        <v>36</v>
      </c>
      <c r="H61" s="8" t="s">
        <v>55</v>
      </c>
      <c r="I61" s="24" t="s">
        <v>257</v>
      </c>
      <c r="J61" s="45">
        <v>15634</v>
      </c>
      <c r="K61" s="254">
        <f t="shared" si="22"/>
        <v>1407</v>
      </c>
      <c r="L61" s="40">
        <f t="shared" si="23"/>
        <v>1407</v>
      </c>
      <c r="M61" s="40">
        <f t="shared" si="24"/>
        <v>0</v>
      </c>
      <c r="N61" s="41">
        <f t="shared" si="25"/>
        <v>18448</v>
      </c>
      <c r="O61" s="21">
        <f>J61*0.3%</f>
        <v>46.902000000000001</v>
      </c>
      <c r="P61" s="349">
        <f t="shared" si="34"/>
        <v>3.0000000000000001E-3</v>
      </c>
      <c r="Q61" s="23">
        <f>N61-(J61*10%)+1516.498</f>
        <v>18401.097999999998</v>
      </c>
      <c r="R61" s="255" t="s">
        <v>517</v>
      </c>
      <c r="S61" s="6" t="s">
        <v>74</v>
      </c>
      <c r="T61" s="10" t="s">
        <v>124</v>
      </c>
      <c r="U61" s="256">
        <f t="shared" si="35"/>
        <v>0</v>
      </c>
      <c r="V61" s="8" t="s">
        <v>519</v>
      </c>
    </row>
    <row r="62" spans="1:22" ht="30" customHeight="1" x14ac:dyDescent="0.3">
      <c r="A62" s="19">
        <f t="shared" si="6"/>
        <v>61</v>
      </c>
      <c r="B62" s="159" t="s">
        <v>192</v>
      </c>
      <c r="C62" s="182">
        <v>45723</v>
      </c>
      <c r="D62" s="182" t="s">
        <v>33</v>
      </c>
      <c r="E62" s="252" t="s">
        <v>258</v>
      </c>
      <c r="F62" s="252" t="s">
        <v>34</v>
      </c>
      <c r="G62" s="253">
        <v>36</v>
      </c>
      <c r="H62" s="8" t="s">
        <v>55</v>
      </c>
      <c r="I62" s="24" t="s">
        <v>259</v>
      </c>
      <c r="J62" s="45">
        <v>2525156</v>
      </c>
      <c r="K62" s="254">
        <f t="shared" si="22"/>
        <v>227264</v>
      </c>
      <c r="L62" s="40">
        <f t="shared" si="23"/>
        <v>227264</v>
      </c>
      <c r="M62" s="40">
        <v>0</v>
      </c>
      <c r="N62" s="41">
        <f t="shared" si="25"/>
        <v>2979684</v>
      </c>
      <c r="O62" s="21">
        <v>7575.4679999999998</v>
      </c>
      <c r="P62" s="349">
        <v>3.0000000000000001E-3</v>
      </c>
      <c r="Q62" s="23">
        <f>N62-(J62*10%)+244940.132</f>
        <v>2972108.5320000001</v>
      </c>
      <c r="R62" s="255" t="s">
        <v>517</v>
      </c>
      <c r="S62" s="6" t="s">
        <v>74</v>
      </c>
      <c r="T62" s="10" t="s">
        <v>124</v>
      </c>
      <c r="U62" s="256">
        <v>0</v>
      </c>
      <c r="V62" s="8" t="s">
        <v>518</v>
      </c>
    </row>
    <row r="63" spans="1:22" ht="30" customHeight="1" x14ac:dyDescent="0.3">
      <c r="A63" s="19">
        <f t="shared" si="6"/>
        <v>62</v>
      </c>
      <c r="B63" s="159" t="s">
        <v>192</v>
      </c>
      <c r="C63" s="182">
        <v>45723</v>
      </c>
      <c r="D63" s="182" t="s">
        <v>33</v>
      </c>
      <c r="E63" s="252" t="s">
        <v>260</v>
      </c>
      <c r="F63" s="252" t="s">
        <v>34</v>
      </c>
      <c r="G63" s="253">
        <v>36</v>
      </c>
      <c r="H63" s="8" t="s">
        <v>55</v>
      </c>
      <c r="I63" s="24" t="s">
        <v>261</v>
      </c>
      <c r="J63" s="45">
        <v>20287</v>
      </c>
      <c r="K63" s="254">
        <v>227264</v>
      </c>
      <c r="L63" s="40">
        <f t="shared" si="23"/>
        <v>1826</v>
      </c>
      <c r="M63" s="40">
        <v>0</v>
      </c>
      <c r="N63" s="41">
        <f t="shared" si="25"/>
        <v>249377</v>
      </c>
      <c r="O63" s="21">
        <v>60.861000000000004</v>
      </c>
      <c r="P63" s="349">
        <v>3.0000000000000001E-3</v>
      </c>
      <c r="Q63" s="23">
        <v>23878.138999999999</v>
      </c>
      <c r="R63" s="255" t="s">
        <v>517</v>
      </c>
      <c r="S63" s="6" t="s">
        <v>74</v>
      </c>
      <c r="T63" s="10" t="s">
        <v>124</v>
      </c>
      <c r="U63" s="256">
        <v>0</v>
      </c>
      <c r="V63" s="8" t="s">
        <v>520</v>
      </c>
    </row>
    <row r="64" spans="1:22" ht="30" customHeight="1" x14ac:dyDescent="0.3">
      <c r="A64" s="19">
        <f t="shared" si="6"/>
        <v>63</v>
      </c>
      <c r="B64" s="159" t="s">
        <v>192</v>
      </c>
      <c r="C64" s="182">
        <v>45741</v>
      </c>
      <c r="D64" s="182" t="s">
        <v>33</v>
      </c>
      <c r="E64" s="252" t="s">
        <v>262</v>
      </c>
      <c r="F64" s="252" t="s">
        <v>34</v>
      </c>
      <c r="G64" s="253">
        <v>36</v>
      </c>
      <c r="H64" s="8" t="s">
        <v>55</v>
      </c>
      <c r="I64" s="24" t="s">
        <v>263</v>
      </c>
      <c r="J64" s="45">
        <v>72050</v>
      </c>
      <c r="K64" s="254">
        <v>6485</v>
      </c>
      <c r="L64" s="40">
        <v>6485</v>
      </c>
      <c r="M64" s="40">
        <v>0</v>
      </c>
      <c r="N64" s="41">
        <f t="shared" si="25"/>
        <v>85020</v>
      </c>
      <c r="O64" s="21">
        <v>216.15</v>
      </c>
      <c r="P64" s="349">
        <v>3.0000000000000001E-3</v>
      </c>
      <c r="Q64" s="23">
        <f>N64-(J64*10%)+6988.85</f>
        <v>84803.85</v>
      </c>
      <c r="R64" s="255" t="s">
        <v>517</v>
      </c>
      <c r="S64" s="6" t="s">
        <v>74</v>
      </c>
      <c r="T64" s="10" t="s">
        <v>124</v>
      </c>
      <c r="U64" s="256">
        <v>0</v>
      </c>
      <c r="V64" s="8" t="s">
        <v>521</v>
      </c>
    </row>
    <row r="65" spans="1:22" ht="30" customHeight="1" x14ac:dyDescent="0.3">
      <c r="A65" s="19">
        <f t="shared" si="6"/>
        <v>64</v>
      </c>
      <c r="B65" s="159" t="s">
        <v>192</v>
      </c>
      <c r="C65" s="46">
        <v>45749</v>
      </c>
      <c r="D65" s="46" t="s">
        <v>33</v>
      </c>
      <c r="E65" s="187" t="s">
        <v>64</v>
      </c>
      <c r="F65" s="42" t="s">
        <v>34</v>
      </c>
      <c r="G65" s="65">
        <v>36</v>
      </c>
      <c r="H65" s="8" t="s">
        <v>55</v>
      </c>
      <c r="I65" s="24" t="s">
        <v>67</v>
      </c>
      <c r="J65" s="45">
        <f>(72050*26)+(53350*1)+(99751*6)</f>
        <v>2525156</v>
      </c>
      <c r="K65" s="43">
        <f t="shared" ref="K65:K75" si="36">ROUND(IF(G65=36,J65*9%,0),0)</f>
        <v>227264</v>
      </c>
      <c r="L65" s="40">
        <f t="shared" ref="L65:L75" si="37">ROUND(IF(G65=36,J65*9%,0),0)</f>
        <v>227264</v>
      </c>
      <c r="M65" s="40">
        <f t="shared" ref="M65:M75" si="38">ROUND(IF(G65=36,J65*0%,J65*18%),0)</f>
        <v>0</v>
      </c>
      <c r="N65" s="41">
        <f t="shared" ref="N65:N75" si="39">J65+K65+L65+M65</f>
        <v>2979684</v>
      </c>
      <c r="O65" s="21">
        <f t="shared" ref="O65:O70" si="40">N65-Q65</f>
        <v>252515.60000000009</v>
      </c>
      <c r="P65" s="349">
        <f>O65/J65</f>
        <v>0.10000000000000003</v>
      </c>
      <c r="Q65" s="23">
        <f>N65-(J65*10%)</f>
        <v>2727168.4</v>
      </c>
      <c r="R65" s="183">
        <v>45797</v>
      </c>
      <c r="S65" s="6" t="s">
        <v>74</v>
      </c>
      <c r="T65" s="10" t="s">
        <v>124</v>
      </c>
      <c r="U65" s="184">
        <v>0</v>
      </c>
      <c r="V65" s="10"/>
    </row>
    <row r="66" spans="1:22" ht="30" customHeight="1" x14ac:dyDescent="0.3">
      <c r="A66" s="19">
        <f t="shared" si="6"/>
        <v>65</v>
      </c>
      <c r="B66" s="159" t="s">
        <v>192</v>
      </c>
      <c r="C66" s="46">
        <v>45749</v>
      </c>
      <c r="D66" s="46" t="s">
        <v>33</v>
      </c>
      <c r="E66" s="187" t="s">
        <v>65</v>
      </c>
      <c r="F66" s="42" t="s">
        <v>34</v>
      </c>
      <c r="G66" s="65">
        <v>36</v>
      </c>
      <c r="H66" s="8" t="s">
        <v>55</v>
      </c>
      <c r="I66" s="24" t="s">
        <v>68</v>
      </c>
      <c r="J66" s="45">
        <v>17323</v>
      </c>
      <c r="K66" s="43">
        <f t="shared" si="36"/>
        <v>1559</v>
      </c>
      <c r="L66" s="40">
        <f t="shared" si="37"/>
        <v>1559</v>
      </c>
      <c r="M66" s="40">
        <f t="shared" si="38"/>
        <v>0</v>
      </c>
      <c r="N66" s="41">
        <f t="shared" si="39"/>
        <v>20441</v>
      </c>
      <c r="O66" s="21">
        <f t="shared" si="40"/>
        <v>1732.2999999999993</v>
      </c>
      <c r="P66" s="349">
        <f>O66/J66</f>
        <v>9.9999999999999964E-2</v>
      </c>
      <c r="Q66" s="23">
        <f>N66-(J66*10%)</f>
        <v>18708.7</v>
      </c>
      <c r="R66" s="183">
        <v>45797</v>
      </c>
      <c r="S66" s="6" t="s">
        <v>74</v>
      </c>
      <c r="T66" s="10" t="s">
        <v>124</v>
      </c>
      <c r="U66" s="184">
        <v>0</v>
      </c>
      <c r="V66" s="10"/>
    </row>
    <row r="67" spans="1:22" ht="30" customHeight="1" x14ac:dyDescent="0.3">
      <c r="A67" s="19">
        <f t="shared" si="6"/>
        <v>66</v>
      </c>
      <c r="B67" s="159" t="s">
        <v>192</v>
      </c>
      <c r="C67" s="60">
        <v>45765</v>
      </c>
      <c r="D67" s="130" t="s">
        <v>129</v>
      </c>
      <c r="E67" s="130" t="s">
        <v>148</v>
      </c>
      <c r="F67" s="130" t="s">
        <v>146</v>
      </c>
      <c r="G67" s="131">
        <v>36</v>
      </c>
      <c r="H67" s="8" t="s">
        <v>52</v>
      </c>
      <c r="I67" s="24" t="s">
        <v>150</v>
      </c>
      <c r="J67" s="45">
        <f>89*200</f>
        <v>17800</v>
      </c>
      <c r="K67" s="132">
        <f t="shared" si="36"/>
        <v>1602</v>
      </c>
      <c r="L67" s="40">
        <f t="shared" si="37"/>
        <v>1602</v>
      </c>
      <c r="M67" s="40">
        <f t="shared" si="38"/>
        <v>0</v>
      </c>
      <c r="N67" s="41">
        <f t="shared" si="39"/>
        <v>21004</v>
      </c>
      <c r="O67" s="21">
        <f t="shared" si="40"/>
        <v>1780</v>
      </c>
      <c r="P67" s="349">
        <f t="shared" ref="P67" si="41">O67/J67</f>
        <v>0.1</v>
      </c>
      <c r="Q67" s="23">
        <v>19224</v>
      </c>
      <c r="R67" s="68">
        <v>45801</v>
      </c>
      <c r="S67" s="6" t="s">
        <v>74</v>
      </c>
      <c r="T67" s="10" t="s">
        <v>147</v>
      </c>
      <c r="U67" s="184">
        <v>0</v>
      </c>
      <c r="V67" s="10"/>
    </row>
    <row r="68" spans="1:22" ht="30" customHeight="1" x14ac:dyDescent="0.3">
      <c r="A68" s="19">
        <f t="shared" si="6"/>
        <v>67</v>
      </c>
      <c r="B68" s="159" t="s">
        <v>192</v>
      </c>
      <c r="C68" s="46">
        <v>45782</v>
      </c>
      <c r="D68" s="164" t="s">
        <v>70</v>
      </c>
      <c r="E68" s="164" t="s">
        <v>215</v>
      </c>
      <c r="F68" s="164" t="s">
        <v>134</v>
      </c>
      <c r="G68" s="165">
        <v>10</v>
      </c>
      <c r="H68" s="8" t="s">
        <v>39</v>
      </c>
      <c r="I68" s="24" t="s">
        <v>217</v>
      </c>
      <c r="J68" s="45">
        <v>39001</v>
      </c>
      <c r="K68" s="166">
        <f t="shared" si="36"/>
        <v>0</v>
      </c>
      <c r="L68" s="40">
        <f t="shared" si="37"/>
        <v>0</v>
      </c>
      <c r="M68" s="40">
        <f t="shared" si="38"/>
        <v>7020</v>
      </c>
      <c r="N68" s="41">
        <f t="shared" si="39"/>
        <v>46021</v>
      </c>
      <c r="O68" s="21">
        <f t="shared" si="40"/>
        <v>3901</v>
      </c>
      <c r="P68" s="349">
        <f>O68/J68</f>
        <v>0.10002307633137612</v>
      </c>
      <c r="Q68" s="23">
        <f>42120</f>
        <v>42120</v>
      </c>
      <c r="R68" s="5">
        <v>45803</v>
      </c>
      <c r="S68" s="6" t="s">
        <v>74</v>
      </c>
      <c r="T68" s="10" t="s">
        <v>136</v>
      </c>
      <c r="U68" s="184">
        <v>0</v>
      </c>
      <c r="V68" s="10"/>
    </row>
    <row r="69" spans="1:22" ht="30" customHeight="1" x14ac:dyDescent="0.3">
      <c r="A69" s="19">
        <f t="shared" si="6"/>
        <v>68</v>
      </c>
      <c r="B69" s="159" t="s">
        <v>192</v>
      </c>
      <c r="C69" s="46">
        <v>45782</v>
      </c>
      <c r="D69" s="164" t="s">
        <v>70</v>
      </c>
      <c r="E69" s="164" t="s">
        <v>216</v>
      </c>
      <c r="F69" s="164" t="s">
        <v>134</v>
      </c>
      <c r="G69" s="165">
        <v>10</v>
      </c>
      <c r="H69" s="8" t="s">
        <v>39</v>
      </c>
      <c r="I69" s="24" t="s">
        <v>217</v>
      </c>
      <c r="J69" s="45">
        <v>60709</v>
      </c>
      <c r="K69" s="166">
        <f t="shared" si="36"/>
        <v>0</v>
      </c>
      <c r="L69" s="40">
        <f t="shared" si="37"/>
        <v>0</v>
      </c>
      <c r="M69" s="40">
        <f t="shared" si="38"/>
        <v>10928</v>
      </c>
      <c r="N69" s="41">
        <f t="shared" si="39"/>
        <v>71637</v>
      </c>
      <c r="O69" s="21">
        <f t="shared" si="40"/>
        <v>6071.3800000000047</v>
      </c>
      <c r="P69" s="349">
        <f>O69/J69</f>
        <v>0.10000790657068977</v>
      </c>
      <c r="Q69" s="23">
        <f>65565.62</f>
        <v>65565.62</v>
      </c>
      <c r="R69" s="5">
        <v>45803</v>
      </c>
      <c r="S69" s="6" t="s">
        <v>74</v>
      </c>
      <c r="T69" s="10" t="s">
        <v>136</v>
      </c>
      <c r="U69" s="184">
        <v>0</v>
      </c>
      <c r="V69" s="10"/>
    </row>
    <row r="70" spans="1:22" ht="30" customHeight="1" x14ac:dyDescent="0.3">
      <c r="A70" s="19">
        <f t="shared" si="6"/>
        <v>69</v>
      </c>
      <c r="B70" s="159" t="s">
        <v>192</v>
      </c>
      <c r="C70" s="60">
        <v>45765</v>
      </c>
      <c r="D70" s="46" t="s">
        <v>33</v>
      </c>
      <c r="E70" s="137" t="s">
        <v>151</v>
      </c>
      <c r="F70" s="137" t="s">
        <v>34</v>
      </c>
      <c r="G70" s="138">
        <v>36</v>
      </c>
      <c r="H70" s="8" t="s">
        <v>55</v>
      </c>
      <c r="I70" s="24" t="s">
        <v>154</v>
      </c>
      <c r="J70" s="45">
        <v>72050</v>
      </c>
      <c r="K70" s="139">
        <f t="shared" si="36"/>
        <v>6485</v>
      </c>
      <c r="L70" s="40">
        <f t="shared" si="37"/>
        <v>6485</v>
      </c>
      <c r="M70" s="40">
        <f t="shared" si="38"/>
        <v>0</v>
      </c>
      <c r="N70" s="41">
        <f t="shared" si="39"/>
        <v>85020</v>
      </c>
      <c r="O70" s="21">
        <f t="shared" si="40"/>
        <v>7205</v>
      </c>
      <c r="P70" s="349">
        <f t="shared" ref="P70" si="42">O70/J70</f>
        <v>0.1</v>
      </c>
      <c r="Q70" s="23">
        <v>77815</v>
      </c>
      <c r="R70" s="5">
        <v>45804</v>
      </c>
      <c r="S70" s="6" t="s">
        <v>74</v>
      </c>
      <c r="T70" s="10" t="s">
        <v>124</v>
      </c>
      <c r="U70" s="184">
        <v>0</v>
      </c>
      <c r="V70" s="10"/>
    </row>
    <row r="71" spans="1:22" ht="30" customHeight="1" x14ac:dyDescent="0.3">
      <c r="A71" s="19">
        <f t="shared" si="6"/>
        <v>70</v>
      </c>
      <c r="B71" s="159" t="s">
        <v>192</v>
      </c>
      <c r="C71" s="46">
        <v>45784</v>
      </c>
      <c r="D71" s="160" t="s">
        <v>70</v>
      </c>
      <c r="E71" s="186" t="s">
        <v>198</v>
      </c>
      <c r="F71" s="160" t="s">
        <v>87</v>
      </c>
      <c r="G71" s="161">
        <v>24</v>
      </c>
      <c r="H71" s="8" t="s">
        <v>53</v>
      </c>
      <c r="I71" s="24" t="s">
        <v>201</v>
      </c>
      <c r="J71" s="162">
        <v>1336930</v>
      </c>
      <c r="K71" s="148">
        <f t="shared" si="36"/>
        <v>0</v>
      </c>
      <c r="L71" s="40">
        <f t="shared" si="37"/>
        <v>0</v>
      </c>
      <c r="M71" s="40">
        <f t="shared" si="38"/>
        <v>240647</v>
      </c>
      <c r="N71" s="41">
        <f t="shared" si="39"/>
        <v>1577577</v>
      </c>
      <c r="O71" s="21">
        <f>J71*2%</f>
        <v>26738.600000000002</v>
      </c>
      <c r="P71" s="349">
        <f t="shared" ref="P71:P76" si="43">O71/J71</f>
        <v>0.02</v>
      </c>
      <c r="Q71" s="23">
        <f>1310189.45+240649</f>
        <v>1550838.45</v>
      </c>
      <c r="R71" s="209" t="s">
        <v>325</v>
      </c>
      <c r="S71" s="6" t="s">
        <v>74</v>
      </c>
      <c r="T71" s="10" t="s">
        <v>80</v>
      </c>
      <c r="U71" s="49" t="s">
        <v>326</v>
      </c>
      <c r="V71" s="8"/>
    </row>
    <row r="72" spans="1:22" ht="30" customHeight="1" x14ac:dyDescent="0.3">
      <c r="A72" s="19">
        <f t="shared" si="6"/>
        <v>71</v>
      </c>
      <c r="B72" s="159" t="s">
        <v>192</v>
      </c>
      <c r="C72" s="46">
        <v>45782</v>
      </c>
      <c r="D72" s="167" t="s">
        <v>70</v>
      </c>
      <c r="E72" s="225" t="s">
        <v>220</v>
      </c>
      <c r="F72" s="167" t="s">
        <v>138</v>
      </c>
      <c r="G72" s="168">
        <v>36</v>
      </c>
      <c r="H72" s="8" t="s">
        <v>49</v>
      </c>
      <c r="I72" s="24" t="s">
        <v>224</v>
      </c>
      <c r="J72" s="45">
        <v>23587797</v>
      </c>
      <c r="K72" s="169">
        <f t="shared" si="36"/>
        <v>2122902</v>
      </c>
      <c r="L72" s="40">
        <f t="shared" si="37"/>
        <v>2122902</v>
      </c>
      <c r="M72" s="40">
        <f t="shared" si="38"/>
        <v>0</v>
      </c>
      <c r="N72" s="41">
        <f t="shared" si="39"/>
        <v>27833601</v>
      </c>
      <c r="O72" s="21">
        <f>J72*0.25%</f>
        <v>58969.4925</v>
      </c>
      <c r="P72" s="349">
        <f t="shared" si="43"/>
        <v>2.5000000000000001E-3</v>
      </c>
      <c r="Q72" s="23">
        <f>N72-O72</f>
        <v>27774631.5075</v>
      </c>
      <c r="R72" s="5">
        <v>45807</v>
      </c>
      <c r="S72" s="6" t="s">
        <v>74</v>
      </c>
      <c r="T72" s="10" t="s">
        <v>96</v>
      </c>
      <c r="U72" s="10"/>
      <c r="V72" s="10"/>
    </row>
    <row r="73" spans="1:22" ht="30" customHeight="1" x14ac:dyDescent="0.3">
      <c r="A73" s="19">
        <f t="shared" si="6"/>
        <v>72</v>
      </c>
      <c r="B73" s="159" t="s">
        <v>192</v>
      </c>
      <c r="C73" s="46">
        <v>45782</v>
      </c>
      <c r="D73" s="167" t="s">
        <v>70</v>
      </c>
      <c r="E73" s="225" t="s">
        <v>222</v>
      </c>
      <c r="F73" s="167" t="s">
        <v>138</v>
      </c>
      <c r="G73" s="168">
        <v>36</v>
      </c>
      <c r="H73" s="8" t="s">
        <v>49</v>
      </c>
      <c r="I73" s="24" t="s">
        <v>226</v>
      </c>
      <c r="J73" s="45">
        <v>199382</v>
      </c>
      <c r="K73" s="169">
        <f t="shared" si="36"/>
        <v>17944</v>
      </c>
      <c r="L73" s="40">
        <f t="shared" si="37"/>
        <v>17944</v>
      </c>
      <c r="M73" s="40">
        <f t="shared" si="38"/>
        <v>0</v>
      </c>
      <c r="N73" s="41">
        <f t="shared" si="39"/>
        <v>235270</v>
      </c>
      <c r="O73" s="21">
        <f>J73*0.25%</f>
        <v>498.45499999999998</v>
      </c>
      <c r="P73" s="349">
        <f t="shared" si="43"/>
        <v>2.5000000000000001E-3</v>
      </c>
      <c r="Q73" s="23">
        <f>N73-O73</f>
        <v>234771.54500000001</v>
      </c>
      <c r="R73" s="5">
        <v>45807</v>
      </c>
      <c r="S73" s="6" t="s">
        <v>74</v>
      </c>
      <c r="T73" s="10" t="s">
        <v>96</v>
      </c>
      <c r="U73" s="10"/>
      <c r="V73" s="10"/>
    </row>
    <row r="74" spans="1:22" ht="30" customHeight="1" x14ac:dyDescent="0.3">
      <c r="A74" s="19">
        <f t="shared" si="6"/>
        <v>73</v>
      </c>
      <c r="B74" s="159" t="s">
        <v>192</v>
      </c>
      <c r="C74" s="46">
        <v>45782</v>
      </c>
      <c r="D74" s="167" t="s">
        <v>70</v>
      </c>
      <c r="E74" s="164" t="s">
        <v>223</v>
      </c>
      <c r="F74" s="167" t="s">
        <v>138</v>
      </c>
      <c r="G74" s="168">
        <v>36</v>
      </c>
      <c r="H74" s="8" t="s">
        <v>49</v>
      </c>
      <c r="I74" s="24" t="s">
        <v>227</v>
      </c>
      <c r="J74" s="39">
        <v>418469</v>
      </c>
      <c r="K74" s="169">
        <f t="shared" si="36"/>
        <v>37662</v>
      </c>
      <c r="L74" s="40">
        <f t="shared" si="37"/>
        <v>37662</v>
      </c>
      <c r="M74" s="40">
        <f t="shared" si="38"/>
        <v>0</v>
      </c>
      <c r="N74" s="41">
        <f t="shared" si="39"/>
        <v>493793</v>
      </c>
      <c r="O74" s="21">
        <f>J74*0.25%</f>
        <v>1046.1725000000001</v>
      </c>
      <c r="P74" s="349">
        <f t="shared" si="43"/>
        <v>2.5000000000000005E-3</v>
      </c>
      <c r="Q74" s="23">
        <f>N74-O74</f>
        <v>492746.82750000001</v>
      </c>
      <c r="R74" s="5">
        <v>45807</v>
      </c>
      <c r="S74" s="6" t="s">
        <v>74</v>
      </c>
      <c r="T74" s="10" t="s">
        <v>96</v>
      </c>
      <c r="U74" s="10"/>
      <c r="V74" s="10"/>
    </row>
    <row r="75" spans="1:22" ht="30" customHeight="1" x14ac:dyDescent="0.3">
      <c r="A75" s="19">
        <f t="shared" si="6"/>
        <v>74</v>
      </c>
      <c r="B75" s="159" t="s">
        <v>192</v>
      </c>
      <c r="C75" s="46">
        <v>45798</v>
      </c>
      <c r="D75" s="167" t="s">
        <v>70</v>
      </c>
      <c r="E75" s="225" t="s">
        <v>264</v>
      </c>
      <c r="F75" s="167" t="s">
        <v>138</v>
      </c>
      <c r="G75" s="168">
        <v>36</v>
      </c>
      <c r="H75" s="8" t="s">
        <v>49</v>
      </c>
      <c r="I75" s="24" t="s">
        <v>265</v>
      </c>
      <c r="J75" s="39">
        <v>951635</v>
      </c>
      <c r="K75" s="169">
        <f t="shared" si="36"/>
        <v>85647</v>
      </c>
      <c r="L75" s="40">
        <f t="shared" si="37"/>
        <v>85647</v>
      </c>
      <c r="M75" s="40">
        <f t="shared" si="38"/>
        <v>0</v>
      </c>
      <c r="N75" s="41">
        <f t="shared" si="39"/>
        <v>1122929</v>
      </c>
      <c r="O75" s="21">
        <f>J75*0.25%</f>
        <v>2379.0875000000001</v>
      </c>
      <c r="P75" s="349">
        <f t="shared" si="43"/>
        <v>2.5000000000000001E-3</v>
      </c>
      <c r="Q75" s="23">
        <f>N75-O75</f>
        <v>1120549.9125000001</v>
      </c>
      <c r="R75" s="5">
        <v>45807</v>
      </c>
      <c r="S75" s="6" t="s">
        <v>74</v>
      </c>
      <c r="T75" s="10" t="s">
        <v>96</v>
      </c>
      <c r="U75" s="10"/>
      <c r="V75" s="10"/>
    </row>
    <row r="76" spans="1:22" ht="30" customHeight="1" x14ac:dyDescent="0.3">
      <c r="A76" s="19">
        <f t="shared" si="6"/>
        <v>75</v>
      </c>
      <c r="B76" s="202" t="s">
        <v>559</v>
      </c>
      <c r="C76" s="46">
        <v>45803</v>
      </c>
      <c r="D76" s="146" t="s">
        <v>70</v>
      </c>
      <c r="E76" s="188" t="s">
        <v>281</v>
      </c>
      <c r="F76" s="146" t="s">
        <v>78</v>
      </c>
      <c r="G76" s="147">
        <v>36</v>
      </c>
      <c r="H76" s="8" t="s">
        <v>53</v>
      </c>
      <c r="I76" s="24" t="s">
        <v>282</v>
      </c>
      <c r="J76" s="45">
        <v>741263</v>
      </c>
      <c r="K76" s="148">
        <f>ROUND(IF(G76=36,J76*9%,0),0)</f>
        <v>66714</v>
      </c>
      <c r="L76" s="40">
        <f>ROUND(IF(G76=36,J76*9%,0),0)</f>
        <v>66714</v>
      </c>
      <c r="M76" s="40">
        <f>ROUND(IF(G76=36,J76*0%,J76*18%),0)</f>
        <v>0</v>
      </c>
      <c r="N76" s="41">
        <f>J76+K76+L76+M76</f>
        <v>874691</v>
      </c>
      <c r="O76" s="21">
        <f>N76-Q76</f>
        <v>1853.6600000000326</v>
      </c>
      <c r="P76" s="349">
        <f t="shared" si="43"/>
        <v>2.5006778970487298E-3</v>
      </c>
      <c r="Q76" s="23">
        <v>872837.34</v>
      </c>
      <c r="R76" s="5">
        <v>45810</v>
      </c>
      <c r="S76" s="6" t="s">
        <v>74</v>
      </c>
      <c r="T76" s="10" t="s">
        <v>80</v>
      </c>
      <c r="U76" s="10"/>
      <c r="V76" s="10"/>
    </row>
    <row r="77" spans="1:22" ht="30" customHeight="1" x14ac:dyDescent="0.3">
      <c r="A77" s="19">
        <f t="shared" si="6"/>
        <v>76</v>
      </c>
      <c r="B77" s="202" t="s">
        <v>559</v>
      </c>
      <c r="C77" s="46">
        <v>45803</v>
      </c>
      <c r="D77" s="171" t="s">
        <v>70</v>
      </c>
      <c r="E77" s="185" t="s">
        <v>272</v>
      </c>
      <c r="F77" s="171" t="s">
        <v>99</v>
      </c>
      <c r="G77" s="172">
        <v>27</v>
      </c>
      <c r="H77" s="8" t="s">
        <v>62</v>
      </c>
      <c r="I77" s="24" t="s">
        <v>278</v>
      </c>
      <c r="J77" s="45">
        <v>93617.95</v>
      </c>
      <c r="K77" s="173">
        <f t="shared" ref="K77:K126" si="44">ROUND(IF(G77=36,J77*9%,0),0)</f>
        <v>0</v>
      </c>
      <c r="L77" s="40">
        <f t="shared" ref="L77:L126" si="45">ROUND(IF(G77=36,J77*9%,0),0)</f>
        <v>0</v>
      </c>
      <c r="M77" s="40">
        <f t="shared" ref="M77:M126" si="46">ROUND(IF(G77=36,J77*0%,J77*18%),0)</f>
        <v>16851</v>
      </c>
      <c r="N77" s="41">
        <f t="shared" ref="N77:N126" si="47">J77+K77+L77+M77</f>
        <v>110468.95</v>
      </c>
      <c r="O77" s="21">
        <f>N77-Q77</f>
        <v>233.72999999999593</v>
      </c>
      <c r="P77" s="349">
        <f>O77/J77</f>
        <v>2.4966365958664543E-3</v>
      </c>
      <c r="Q77" s="23">
        <v>110235.22</v>
      </c>
      <c r="R77" s="5">
        <v>45811</v>
      </c>
      <c r="S77" s="6" t="s">
        <v>74</v>
      </c>
      <c r="T77" s="10" t="s">
        <v>248</v>
      </c>
      <c r="U77" s="10"/>
      <c r="V77" s="10"/>
    </row>
    <row r="78" spans="1:22" ht="30" customHeight="1" x14ac:dyDescent="0.3">
      <c r="A78" s="19">
        <f t="shared" si="6"/>
        <v>77</v>
      </c>
      <c r="B78" s="202" t="s">
        <v>559</v>
      </c>
      <c r="C78" s="46">
        <v>45803</v>
      </c>
      <c r="D78" s="171" t="s">
        <v>70</v>
      </c>
      <c r="E78" s="185" t="s">
        <v>273</v>
      </c>
      <c r="F78" s="171" t="s">
        <v>99</v>
      </c>
      <c r="G78" s="172">
        <v>27</v>
      </c>
      <c r="H78" s="8" t="s">
        <v>62</v>
      </c>
      <c r="I78" s="24" t="s">
        <v>279</v>
      </c>
      <c r="J78" s="45">
        <v>187868.22500000006</v>
      </c>
      <c r="K78" s="173">
        <f t="shared" si="44"/>
        <v>0</v>
      </c>
      <c r="L78" s="40">
        <f t="shared" si="45"/>
        <v>0</v>
      </c>
      <c r="M78" s="40">
        <f t="shared" si="46"/>
        <v>33816</v>
      </c>
      <c r="N78" s="41">
        <f t="shared" si="47"/>
        <v>221684.22500000006</v>
      </c>
      <c r="O78" s="21">
        <f>N78-Q78</f>
        <v>469.5350000000617</v>
      </c>
      <c r="P78" s="349">
        <f>O78/J78</f>
        <v>2.4992784170929467E-3</v>
      </c>
      <c r="Q78" s="23">
        <v>221214.69</v>
      </c>
      <c r="R78" s="5">
        <v>45811</v>
      </c>
      <c r="S78" s="6" t="s">
        <v>74</v>
      </c>
      <c r="T78" s="10" t="s">
        <v>248</v>
      </c>
      <c r="U78" s="10"/>
      <c r="V78" s="10"/>
    </row>
    <row r="79" spans="1:22" ht="30" customHeight="1" x14ac:dyDescent="0.3">
      <c r="A79" s="19">
        <f t="shared" si="6"/>
        <v>78</v>
      </c>
      <c r="B79" s="202" t="s">
        <v>559</v>
      </c>
      <c r="C79" s="46">
        <v>45803</v>
      </c>
      <c r="D79" s="171" t="s">
        <v>70</v>
      </c>
      <c r="E79" s="185" t="s">
        <v>274</v>
      </c>
      <c r="F79" s="171" t="s">
        <v>115</v>
      </c>
      <c r="G79" s="172">
        <v>5</v>
      </c>
      <c r="H79" s="8" t="s">
        <v>63</v>
      </c>
      <c r="I79" s="24" t="s">
        <v>280</v>
      </c>
      <c r="J79" s="45">
        <v>34413</v>
      </c>
      <c r="K79" s="173">
        <f t="shared" si="44"/>
        <v>0</v>
      </c>
      <c r="L79" s="40">
        <f t="shared" si="45"/>
        <v>0</v>
      </c>
      <c r="M79" s="40">
        <f t="shared" si="46"/>
        <v>6194</v>
      </c>
      <c r="N79" s="41">
        <f t="shared" si="47"/>
        <v>40607</v>
      </c>
      <c r="O79" s="21">
        <f>N79-Q79</f>
        <v>688.5</v>
      </c>
      <c r="P79" s="349">
        <f>O79/J79</f>
        <v>2.000697410862174E-2</v>
      </c>
      <c r="Q79" s="23">
        <v>39918.5</v>
      </c>
      <c r="R79" s="5">
        <v>45811</v>
      </c>
      <c r="S79" s="6" t="s">
        <v>74</v>
      </c>
      <c r="T79" s="10" t="s">
        <v>248</v>
      </c>
      <c r="U79" s="10"/>
      <c r="V79" s="10"/>
    </row>
    <row r="80" spans="1:22" ht="30" customHeight="1" x14ac:dyDescent="0.3">
      <c r="A80" s="19">
        <f t="shared" si="6"/>
        <v>79</v>
      </c>
      <c r="B80" s="202" t="s">
        <v>559</v>
      </c>
      <c r="C80" s="46">
        <v>45749</v>
      </c>
      <c r="D80" s="60" t="s">
        <v>33</v>
      </c>
      <c r="E80" s="225" t="s">
        <v>66</v>
      </c>
      <c r="F80" s="60" t="s">
        <v>37</v>
      </c>
      <c r="G80" s="65">
        <v>36</v>
      </c>
      <c r="H80" s="8" t="s">
        <v>38</v>
      </c>
      <c r="I80" s="24" t="s">
        <v>69</v>
      </c>
      <c r="J80" s="45">
        <f>((109000*1)+133333+(158333*2))</f>
        <v>558999</v>
      </c>
      <c r="K80" s="43">
        <f t="shared" si="44"/>
        <v>50310</v>
      </c>
      <c r="L80" s="40">
        <f t="shared" si="45"/>
        <v>50310</v>
      </c>
      <c r="M80" s="40">
        <f t="shared" si="46"/>
        <v>0</v>
      </c>
      <c r="N80" s="41">
        <f t="shared" si="47"/>
        <v>659619</v>
      </c>
      <c r="O80" s="21">
        <f>N80-Q80</f>
        <v>55900</v>
      </c>
      <c r="P80" s="349">
        <f t="shared" ref="P80" si="48">O80/J80</f>
        <v>0.10000017889119658</v>
      </c>
      <c r="Q80" s="23">
        <v>603719</v>
      </c>
      <c r="R80" s="68">
        <v>45812</v>
      </c>
      <c r="S80" s="6" t="s">
        <v>74</v>
      </c>
      <c r="T80" s="10" t="s">
        <v>124</v>
      </c>
      <c r="U80" s="10"/>
      <c r="V80" s="10"/>
    </row>
    <row r="81" spans="1:22" ht="30" customHeight="1" x14ac:dyDescent="0.3">
      <c r="A81" s="19">
        <f t="shared" si="6"/>
        <v>80</v>
      </c>
      <c r="B81" s="202" t="s">
        <v>559</v>
      </c>
      <c r="C81" s="205">
        <v>45808</v>
      </c>
      <c r="D81" s="205" t="s">
        <v>70</v>
      </c>
      <c r="E81" s="225" t="s">
        <v>292</v>
      </c>
      <c r="F81" s="205" t="s">
        <v>87</v>
      </c>
      <c r="G81" s="206">
        <v>24</v>
      </c>
      <c r="H81" s="8" t="s">
        <v>53</v>
      </c>
      <c r="I81" s="24" t="s">
        <v>303</v>
      </c>
      <c r="J81" s="162">
        <v>22646980</v>
      </c>
      <c r="K81" s="41">
        <f t="shared" si="44"/>
        <v>0</v>
      </c>
      <c r="L81" s="201">
        <f t="shared" si="45"/>
        <v>0</v>
      </c>
      <c r="M81" s="201">
        <f t="shared" si="46"/>
        <v>4076456</v>
      </c>
      <c r="N81" s="41">
        <f t="shared" si="47"/>
        <v>26723436</v>
      </c>
      <c r="O81" s="21">
        <f>J81*0.25%</f>
        <v>56617.450000000004</v>
      </c>
      <c r="P81" s="349">
        <f t="shared" ref="P81:P90" si="49">O81/J81</f>
        <v>2.5000000000000001E-3</v>
      </c>
      <c r="Q81" s="23">
        <f>22590362.55+4076456</f>
        <v>26666818.550000001</v>
      </c>
      <c r="R81" s="5">
        <v>45813</v>
      </c>
      <c r="S81" s="6" t="s">
        <v>74</v>
      </c>
      <c r="T81" s="10" t="s">
        <v>80</v>
      </c>
      <c r="U81" s="8" t="s">
        <v>327</v>
      </c>
      <c r="V81" s="8"/>
    </row>
    <row r="82" spans="1:22" ht="30" customHeight="1" x14ac:dyDescent="0.3">
      <c r="A82" s="19">
        <f t="shared" si="6"/>
        <v>81</v>
      </c>
      <c r="B82" s="202" t="s">
        <v>559</v>
      </c>
      <c r="C82" s="46">
        <v>45806</v>
      </c>
      <c r="D82" s="189" t="s">
        <v>288</v>
      </c>
      <c r="E82" s="225" t="s">
        <v>283</v>
      </c>
      <c r="F82" s="190" t="s">
        <v>289</v>
      </c>
      <c r="G82" s="138">
        <v>36</v>
      </c>
      <c r="H82" s="8" t="s">
        <v>287</v>
      </c>
      <c r="I82" s="24" t="s">
        <v>290</v>
      </c>
      <c r="J82" s="45">
        <v>103421.87</v>
      </c>
      <c r="K82" s="173">
        <f t="shared" si="44"/>
        <v>9308</v>
      </c>
      <c r="L82" s="40">
        <f t="shared" si="45"/>
        <v>9308</v>
      </c>
      <c r="M82" s="40">
        <f t="shared" si="46"/>
        <v>0</v>
      </c>
      <c r="N82" s="41">
        <f t="shared" si="47"/>
        <v>122037.87</v>
      </c>
      <c r="O82" s="21">
        <f>N82-Q82</f>
        <v>2068.4373999999953</v>
      </c>
      <c r="P82" s="349">
        <f t="shared" si="49"/>
        <v>1.9999999999999955E-2</v>
      </c>
      <c r="Q82" s="23">
        <f>N82-(J82*2%)</f>
        <v>119969.4326</v>
      </c>
      <c r="R82" s="5">
        <v>45814</v>
      </c>
      <c r="S82" s="6" t="s">
        <v>74</v>
      </c>
      <c r="T82" s="10" t="s">
        <v>322</v>
      </c>
      <c r="U82" s="10"/>
      <c r="V82" s="10"/>
    </row>
    <row r="83" spans="1:22" ht="30" customHeight="1" x14ac:dyDescent="0.3">
      <c r="A83" s="19">
        <f t="shared" si="6"/>
        <v>82</v>
      </c>
      <c r="B83" s="202" t="s">
        <v>559</v>
      </c>
      <c r="C83" s="46">
        <v>45806</v>
      </c>
      <c r="D83" s="189" t="s">
        <v>288</v>
      </c>
      <c r="E83" s="225" t="s">
        <v>284</v>
      </c>
      <c r="F83" s="190" t="s">
        <v>289</v>
      </c>
      <c r="G83" s="138">
        <v>36</v>
      </c>
      <c r="H83" s="8" t="s">
        <v>287</v>
      </c>
      <c r="I83" s="24" t="s">
        <v>290</v>
      </c>
      <c r="J83" s="45">
        <v>92070.42</v>
      </c>
      <c r="K83" s="173">
        <f t="shared" si="44"/>
        <v>8286</v>
      </c>
      <c r="L83" s="40">
        <f t="shared" si="45"/>
        <v>8286</v>
      </c>
      <c r="M83" s="40">
        <f t="shared" si="46"/>
        <v>0</v>
      </c>
      <c r="N83" s="41">
        <f t="shared" si="47"/>
        <v>108642.42</v>
      </c>
      <c r="O83" s="21">
        <f>N83-Q83</f>
        <v>1841.4084000000003</v>
      </c>
      <c r="P83" s="349">
        <f t="shared" si="49"/>
        <v>2.0000000000000004E-2</v>
      </c>
      <c r="Q83" s="23">
        <f>N83-(J83*2%)</f>
        <v>106801.0116</v>
      </c>
      <c r="R83" s="5">
        <v>45814</v>
      </c>
      <c r="S83" s="6" t="s">
        <v>74</v>
      </c>
      <c r="T83" s="10" t="s">
        <v>322</v>
      </c>
      <c r="U83" s="10"/>
      <c r="V83" s="10"/>
    </row>
    <row r="84" spans="1:22" ht="30" customHeight="1" x14ac:dyDescent="0.3">
      <c r="A84" s="19">
        <f t="shared" si="6"/>
        <v>83</v>
      </c>
      <c r="B84" s="202" t="s">
        <v>559</v>
      </c>
      <c r="C84" s="46">
        <v>45806</v>
      </c>
      <c r="D84" s="189" t="s">
        <v>288</v>
      </c>
      <c r="E84" s="225" t="s">
        <v>285</v>
      </c>
      <c r="F84" s="190" t="s">
        <v>289</v>
      </c>
      <c r="G84" s="138">
        <v>36</v>
      </c>
      <c r="H84" s="8" t="s">
        <v>287</v>
      </c>
      <c r="I84" s="24" t="s">
        <v>291</v>
      </c>
      <c r="J84" s="45">
        <v>34750</v>
      </c>
      <c r="K84" s="173">
        <f t="shared" si="44"/>
        <v>3128</v>
      </c>
      <c r="L84" s="40">
        <f t="shared" si="45"/>
        <v>3128</v>
      </c>
      <c r="M84" s="40">
        <f t="shared" si="46"/>
        <v>0</v>
      </c>
      <c r="N84" s="41">
        <f t="shared" si="47"/>
        <v>41006</v>
      </c>
      <c r="O84" s="21">
        <f>N84-Q84</f>
        <v>695</v>
      </c>
      <c r="P84" s="349">
        <f t="shared" si="49"/>
        <v>0.02</v>
      </c>
      <c r="Q84" s="23">
        <f>N84-(J84*2%)</f>
        <v>40311</v>
      </c>
      <c r="R84" s="5">
        <v>45814</v>
      </c>
      <c r="S84" s="6" t="s">
        <v>74</v>
      </c>
      <c r="T84" s="10" t="s">
        <v>322</v>
      </c>
      <c r="U84" s="10"/>
      <c r="V84" s="10"/>
    </row>
    <row r="85" spans="1:22" ht="30" customHeight="1" x14ac:dyDescent="0.3">
      <c r="A85" s="19">
        <f t="shared" si="6"/>
        <v>84</v>
      </c>
      <c r="B85" s="202" t="s">
        <v>559</v>
      </c>
      <c r="C85" s="46">
        <v>45806</v>
      </c>
      <c r="D85" s="189" t="s">
        <v>288</v>
      </c>
      <c r="E85" s="191" t="s">
        <v>286</v>
      </c>
      <c r="F85" s="190" t="s">
        <v>289</v>
      </c>
      <c r="G85" s="138">
        <v>36</v>
      </c>
      <c r="H85" s="8" t="s">
        <v>287</v>
      </c>
      <c r="I85" s="24" t="s">
        <v>291</v>
      </c>
      <c r="J85" s="45">
        <v>20721</v>
      </c>
      <c r="K85" s="173">
        <f t="shared" si="44"/>
        <v>1865</v>
      </c>
      <c r="L85" s="40">
        <f t="shared" si="45"/>
        <v>1865</v>
      </c>
      <c r="M85" s="40">
        <f t="shared" si="46"/>
        <v>0</v>
      </c>
      <c r="N85" s="41">
        <f t="shared" si="47"/>
        <v>24451</v>
      </c>
      <c r="O85" s="21">
        <f>N85-Q85</f>
        <v>414.41999999999825</v>
      </c>
      <c r="P85" s="349">
        <f t="shared" si="49"/>
        <v>1.9999999999999917E-2</v>
      </c>
      <c r="Q85" s="23">
        <f>N85-(J85*2%)</f>
        <v>24036.58</v>
      </c>
      <c r="R85" s="5">
        <v>45814</v>
      </c>
      <c r="S85" s="6" t="s">
        <v>74</v>
      </c>
      <c r="T85" s="10" t="s">
        <v>322</v>
      </c>
      <c r="U85" s="10"/>
      <c r="V85" s="10"/>
    </row>
    <row r="86" spans="1:22" ht="30" customHeight="1" x14ac:dyDescent="0.3">
      <c r="A86" s="19">
        <f t="shared" ref="A86:A149" si="50">A85+1</f>
        <v>85</v>
      </c>
      <c r="B86" s="202" t="s">
        <v>559</v>
      </c>
      <c r="C86" s="205">
        <v>45808</v>
      </c>
      <c r="D86" s="205" t="s">
        <v>70</v>
      </c>
      <c r="E86" s="205" t="s">
        <v>293</v>
      </c>
      <c r="F86" s="205" t="s">
        <v>94</v>
      </c>
      <c r="G86" s="206">
        <v>24</v>
      </c>
      <c r="H86" s="8" t="s">
        <v>50</v>
      </c>
      <c r="I86" s="24" t="s">
        <v>304</v>
      </c>
      <c r="J86" s="162">
        <v>17709959</v>
      </c>
      <c r="K86" s="41">
        <f t="shared" si="44"/>
        <v>0</v>
      </c>
      <c r="L86" s="201">
        <f t="shared" si="45"/>
        <v>0</v>
      </c>
      <c r="M86" s="201">
        <f t="shared" si="46"/>
        <v>3187793</v>
      </c>
      <c r="N86" s="41">
        <f t="shared" si="47"/>
        <v>20897752</v>
      </c>
      <c r="O86" s="21">
        <f>J86*2%</f>
        <v>354199.18</v>
      </c>
      <c r="P86" s="349">
        <f t="shared" si="49"/>
        <v>0.02</v>
      </c>
      <c r="Q86" s="23">
        <f>17355760.3+3187793</f>
        <v>20543553.300000001</v>
      </c>
      <c r="R86" s="5">
        <v>45814</v>
      </c>
      <c r="S86" s="6" t="s">
        <v>74</v>
      </c>
      <c r="T86" s="10" t="s">
        <v>96</v>
      </c>
      <c r="U86" s="8" t="s">
        <v>324</v>
      </c>
      <c r="V86" s="8"/>
    </row>
    <row r="87" spans="1:22" ht="30" customHeight="1" x14ac:dyDescent="0.3">
      <c r="A87" s="19">
        <f t="shared" si="50"/>
        <v>86</v>
      </c>
      <c r="B87" s="202" t="s">
        <v>559</v>
      </c>
      <c r="C87" s="46">
        <v>45784</v>
      </c>
      <c r="D87" s="160" t="s">
        <v>70</v>
      </c>
      <c r="E87" s="186" t="s">
        <v>188</v>
      </c>
      <c r="F87" s="160" t="s">
        <v>94</v>
      </c>
      <c r="G87" s="161">
        <v>24</v>
      </c>
      <c r="H87" s="8" t="s">
        <v>50</v>
      </c>
      <c r="I87" s="24" t="s">
        <v>194</v>
      </c>
      <c r="J87" s="162">
        <v>604147</v>
      </c>
      <c r="K87" s="148">
        <f t="shared" si="44"/>
        <v>0</v>
      </c>
      <c r="L87" s="40">
        <f t="shared" si="45"/>
        <v>0</v>
      </c>
      <c r="M87" s="40">
        <f t="shared" si="46"/>
        <v>108746</v>
      </c>
      <c r="N87" s="41">
        <f t="shared" si="47"/>
        <v>712893</v>
      </c>
      <c r="O87" s="21">
        <f>J87*2%</f>
        <v>12082.94</v>
      </c>
      <c r="P87" s="349">
        <f t="shared" si="49"/>
        <v>0.02</v>
      </c>
      <c r="Q87" s="23">
        <f>N87-O87-M87+108746</f>
        <v>700810.06</v>
      </c>
      <c r="R87" s="5">
        <v>45814</v>
      </c>
      <c r="S87" s="6" t="s">
        <v>74</v>
      </c>
      <c r="T87" s="10" t="s">
        <v>96</v>
      </c>
      <c r="U87" s="8" t="s">
        <v>323</v>
      </c>
      <c r="V87" s="8"/>
    </row>
    <row r="88" spans="1:22" ht="30" customHeight="1" x14ac:dyDescent="0.3">
      <c r="A88" s="19">
        <f t="shared" si="50"/>
        <v>87</v>
      </c>
      <c r="B88" s="202" t="s">
        <v>559</v>
      </c>
      <c r="C88" s="46">
        <v>45782</v>
      </c>
      <c r="D88" s="46" t="s">
        <v>33</v>
      </c>
      <c r="E88" s="225" t="s">
        <v>209</v>
      </c>
      <c r="F88" s="42" t="s">
        <v>34</v>
      </c>
      <c r="G88" s="65">
        <v>36</v>
      </c>
      <c r="H88" s="8" t="s">
        <v>55</v>
      </c>
      <c r="I88" s="24" t="s">
        <v>212</v>
      </c>
      <c r="J88" s="45">
        <f>(72050*28)+(53350*1)+(99751*6)</f>
        <v>2669256</v>
      </c>
      <c r="K88" s="43">
        <f t="shared" si="44"/>
        <v>240233</v>
      </c>
      <c r="L88" s="40">
        <f t="shared" si="45"/>
        <v>240233</v>
      </c>
      <c r="M88" s="40">
        <f t="shared" si="46"/>
        <v>0</v>
      </c>
      <c r="N88" s="41">
        <f t="shared" si="47"/>
        <v>3149722</v>
      </c>
      <c r="O88" s="21">
        <f t="shared" ref="O88:O101" si="51">N88-Q88</f>
        <v>266925.60000000009</v>
      </c>
      <c r="P88" s="349">
        <f t="shared" si="49"/>
        <v>0.10000000000000003</v>
      </c>
      <c r="Q88" s="23">
        <f>N88-(J88*10%)</f>
        <v>2882796.4</v>
      </c>
      <c r="R88" s="5">
        <v>45814</v>
      </c>
      <c r="S88" s="6" t="s">
        <v>74</v>
      </c>
      <c r="T88" s="10" t="s">
        <v>124</v>
      </c>
      <c r="U88" s="24"/>
      <c r="V88" s="24"/>
    </row>
    <row r="89" spans="1:22" ht="30" customHeight="1" x14ac:dyDescent="0.3">
      <c r="A89" s="19">
        <f t="shared" si="50"/>
        <v>88</v>
      </c>
      <c r="B89" s="202" t="s">
        <v>559</v>
      </c>
      <c r="C89" s="46">
        <v>45782</v>
      </c>
      <c r="D89" s="46" t="s">
        <v>33</v>
      </c>
      <c r="E89" s="225" t="s">
        <v>210</v>
      </c>
      <c r="F89" s="42" t="s">
        <v>34</v>
      </c>
      <c r="G89" s="65">
        <v>36</v>
      </c>
      <c r="H89" s="8" t="s">
        <v>55</v>
      </c>
      <c r="I89" s="24" t="s">
        <v>211</v>
      </c>
      <c r="J89" s="45">
        <v>20545</v>
      </c>
      <c r="K89" s="43">
        <f t="shared" si="44"/>
        <v>1849</v>
      </c>
      <c r="L89" s="40">
        <f t="shared" si="45"/>
        <v>1849</v>
      </c>
      <c r="M89" s="40">
        <f t="shared" si="46"/>
        <v>0</v>
      </c>
      <c r="N89" s="41">
        <f t="shared" si="47"/>
        <v>24243</v>
      </c>
      <c r="O89" s="21">
        <f t="shared" si="51"/>
        <v>2054.5</v>
      </c>
      <c r="P89" s="349">
        <f t="shared" si="49"/>
        <v>0.1</v>
      </c>
      <c r="Q89" s="23">
        <f>N89-(J89*10%)</f>
        <v>22188.5</v>
      </c>
      <c r="R89" s="5">
        <v>45814</v>
      </c>
      <c r="S89" s="6" t="s">
        <v>74</v>
      </c>
      <c r="T89" s="10" t="s">
        <v>124</v>
      </c>
      <c r="U89" s="10"/>
      <c r="V89" s="10"/>
    </row>
    <row r="90" spans="1:22" ht="30" customHeight="1" x14ac:dyDescent="0.3">
      <c r="A90" s="19">
        <f t="shared" si="50"/>
        <v>89</v>
      </c>
      <c r="B90" s="202" t="s">
        <v>559</v>
      </c>
      <c r="C90" s="46">
        <v>45782</v>
      </c>
      <c r="D90" s="46" t="s">
        <v>33</v>
      </c>
      <c r="E90" s="225" t="s">
        <v>214</v>
      </c>
      <c r="F90" s="42" t="s">
        <v>34</v>
      </c>
      <c r="G90" s="65">
        <v>36</v>
      </c>
      <c r="H90" s="8" t="s">
        <v>55</v>
      </c>
      <c r="I90" s="24" t="s">
        <v>213</v>
      </c>
      <c r="J90" s="45">
        <v>10171</v>
      </c>
      <c r="K90" s="43">
        <f t="shared" si="44"/>
        <v>915</v>
      </c>
      <c r="L90" s="40">
        <f t="shared" si="45"/>
        <v>915</v>
      </c>
      <c r="M90" s="40">
        <f t="shared" si="46"/>
        <v>0</v>
      </c>
      <c r="N90" s="41">
        <f t="shared" si="47"/>
        <v>12001</v>
      </c>
      <c r="O90" s="21">
        <f t="shared" si="51"/>
        <v>1017.1000000000004</v>
      </c>
      <c r="P90" s="349">
        <f t="shared" si="49"/>
        <v>0.10000000000000003</v>
      </c>
      <c r="Q90" s="23">
        <f>N90-(J90*10%)</f>
        <v>10983.9</v>
      </c>
      <c r="R90" s="5">
        <v>45814</v>
      </c>
      <c r="S90" s="6" t="s">
        <v>74</v>
      </c>
      <c r="T90" s="10" t="s">
        <v>124</v>
      </c>
      <c r="U90" s="10"/>
      <c r="V90" s="10"/>
    </row>
    <row r="91" spans="1:22" ht="30" customHeight="1" x14ac:dyDescent="0.3">
      <c r="A91" s="19">
        <f t="shared" si="50"/>
        <v>90</v>
      </c>
      <c r="B91" s="202" t="s">
        <v>559</v>
      </c>
      <c r="C91" s="205">
        <v>45808</v>
      </c>
      <c r="D91" s="205" t="s">
        <v>70</v>
      </c>
      <c r="E91" s="205" t="s">
        <v>312</v>
      </c>
      <c r="F91" s="205" t="s">
        <v>94</v>
      </c>
      <c r="G91" s="206">
        <v>24</v>
      </c>
      <c r="H91" s="8" t="s">
        <v>50</v>
      </c>
      <c r="I91" s="24" t="s">
        <v>313</v>
      </c>
      <c r="J91" s="162">
        <v>214599</v>
      </c>
      <c r="K91" s="148">
        <f t="shared" si="44"/>
        <v>0</v>
      </c>
      <c r="L91" s="40">
        <f t="shared" si="45"/>
        <v>0</v>
      </c>
      <c r="M91" s="40">
        <f t="shared" si="46"/>
        <v>38628</v>
      </c>
      <c r="N91" s="41">
        <f t="shared" si="47"/>
        <v>253227</v>
      </c>
      <c r="O91" s="21">
        <f t="shared" si="51"/>
        <v>4292</v>
      </c>
      <c r="P91" s="349">
        <f t="shared" ref="P91:P99" si="52">O91/J91</f>
        <v>2.0000093197079204E-2</v>
      </c>
      <c r="Q91" s="23">
        <f>38628+210307</f>
        <v>248935</v>
      </c>
      <c r="R91" s="217" t="s">
        <v>357</v>
      </c>
      <c r="S91" s="6" t="s">
        <v>74</v>
      </c>
      <c r="T91" s="10" t="s">
        <v>96</v>
      </c>
      <c r="U91" s="218" t="s">
        <v>358</v>
      </c>
      <c r="V91" s="8"/>
    </row>
    <row r="92" spans="1:22" ht="30" customHeight="1" x14ac:dyDescent="0.3">
      <c r="A92" s="19">
        <f t="shared" si="50"/>
        <v>91</v>
      </c>
      <c r="B92" s="202" t="s">
        <v>559</v>
      </c>
      <c r="C92" s="205">
        <v>45808</v>
      </c>
      <c r="D92" s="205" t="s">
        <v>70</v>
      </c>
      <c r="E92" s="225" t="s">
        <v>294</v>
      </c>
      <c r="F92" s="205" t="s">
        <v>105</v>
      </c>
      <c r="G92" s="206">
        <v>24</v>
      </c>
      <c r="H92" s="8" t="s">
        <v>60</v>
      </c>
      <c r="I92" s="24" t="s">
        <v>301</v>
      </c>
      <c r="J92" s="162">
        <v>2554948</v>
      </c>
      <c r="K92" s="41">
        <f t="shared" si="44"/>
        <v>0</v>
      </c>
      <c r="L92" s="201">
        <f t="shared" si="45"/>
        <v>0</v>
      </c>
      <c r="M92" s="201">
        <f t="shared" si="46"/>
        <v>459891</v>
      </c>
      <c r="N92" s="41">
        <f t="shared" si="47"/>
        <v>3014839</v>
      </c>
      <c r="O92" s="21">
        <f t="shared" si="51"/>
        <v>51099.450000000186</v>
      </c>
      <c r="P92" s="349">
        <f t="shared" si="52"/>
        <v>2.000019178472524E-2</v>
      </c>
      <c r="Q92" s="23">
        <f>2503848.92+459890.63</f>
        <v>2963739.55</v>
      </c>
      <c r="R92" s="5">
        <v>45814</v>
      </c>
      <c r="S92" s="6" t="s">
        <v>74</v>
      </c>
      <c r="T92" s="10" t="s">
        <v>96</v>
      </c>
      <c r="U92" s="8" t="s">
        <v>328</v>
      </c>
      <c r="V92" s="8"/>
    </row>
    <row r="93" spans="1:22" ht="30" customHeight="1" x14ac:dyDescent="0.3">
      <c r="A93" s="19">
        <f t="shared" si="50"/>
        <v>92</v>
      </c>
      <c r="B93" s="202" t="s">
        <v>559</v>
      </c>
      <c r="C93" s="46">
        <v>45803</v>
      </c>
      <c r="D93" s="171" t="s">
        <v>70</v>
      </c>
      <c r="E93" s="225" t="s">
        <v>269</v>
      </c>
      <c r="F93" s="171" t="s">
        <v>72</v>
      </c>
      <c r="G93" s="172">
        <v>24</v>
      </c>
      <c r="H93" s="8" t="s">
        <v>61</v>
      </c>
      <c r="I93" s="24" t="s">
        <v>275</v>
      </c>
      <c r="J93" s="45">
        <v>23385</v>
      </c>
      <c r="K93" s="173">
        <f t="shared" si="44"/>
        <v>0</v>
      </c>
      <c r="L93" s="40">
        <f t="shared" si="45"/>
        <v>0</v>
      </c>
      <c r="M93" s="40">
        <f t="shared" si="46"/>
        <v>4209</v>
      </c>
      <c r="N93" s="41">
        <f t="shared" si="47"/>
        <v>27594</v>
      </c>
      <c r="O93" s="21">
        <f t="shared" si="51"/>
        <v>467.70000000000073</v>
      </c>
      <c r="P93" s="349">
        <f t="shared" si="52"/>
        <v>2.0000000000000032E-2</v>
      </c>
      <c r="Q93" s="23">
        <v>27126.3</v>
      </c>
      <c r="R93" s="5">
        <v>45814</v>
      </c>
      <c r="S93" s="6" t="s">
        <v>74</v>
      </c>
      <c r="T93" s="10" t="s">
        <v>75</v>
      </c>
      <c r="U93" s="10"/>
      <c r="V93" s="10"/>
    </row>
    <row r="94" spans="1:22" ht="30" customHeight="1" x14ac:dyDescent="0.3">
      <c r="A94" s="19">
        <f t="shared" si="50"/>
        <v>93</v>
      </c>
      <c r="B94" s="202" t="s">
        <v>559</v>
      </c>
      <c r="C94" s="46">
        <v>45812</v>
      </c>
      <c r="D94" s="75" t="s">
        <v>70</v>
      </c>
      <c r="E94" s="225" t="s">
        <v>317</v>
      </c>
      <c r="F94" s="110" t="s">
        <v>126</v>
      </c>
      <c r="G94" s="65">
        <v>24</v>
      </c>
      <c r="H94" s="8" t="s">
        <v>125</v>
      </c>
      <c r="I94" s="24" t="s">
        <v>318</v>
      </c>
      <c r="J94" s="45">
        <v>4750097</v>
      </c>
      <c r="K94" s="43">
        <f t="shared" si="44"/>
        <v>0</v>
      </c>
      <c r="L94" s="40">
        <f t="shared" si="45"/>
        <v>0</v>
      </c>
      <c r="M94" s="40">
        <f t="shared" si="46"/>
        <v>855017</v>
      </c>
      <c r="N94" s="41">
        <f t="shared" si="47"/>
        <v>5605114</v>
      </c>
      <c r="O94" s="21">
        <f t="shared" si="51"/>
        <v>11874.540000000037</v>
      </c>
      <c r="P94" s="349">
        <f t="shared" si="52"/>
        <v>2.4998521082832703E-3</v>
      </c>
      <c r="Q94" s="23">
        <v>5593239.46</v>
      </c>
      <c r="R94" s="5">
        <v>45815</v>
      </c>
      <c r="S94" s="6" t="s">
        <v>74</v>
      </c>
      <c r="T94" s="10" t="s">
        <v>136</v>
      </c>
      <c r="U94" s="10"/>
      <c r="V94" s="10"/>
    </row>
    <row r="95" spans="1:22" ht="30" customHeight="1" x14ac:dyDescent="0.3">
      <c r="A95" s="19">
        <f t="shared" si="50"/>
        <v>94</v>
      </c>
      <c r="B95" s="202" t="s">
        <v>559</v>
      </c>
      <c r="C95" s="205">
        <v>45808</v>
      </c>
      <c r="D95" s="205" t="s">
        <v>70</v>
      </c>
      <c r="E95" s="205" t="s">
        <v>297</v>
      </c>
      <c r="F95" s="205" t="s">
        <v>87</v>
      </c>
      <c r="G95" s="206">
        <v>24</v>
      </c>
      <c r="H95" s="8" t="s">
        <v>53</v>
      </c>
      <c r="I95" s="24" t="s">
        <v>299</v>
      </c>
      <c r="J95" s="162">
        <v>1232108</v>
      </c>
      <c r="K95" s="148">
        <f t="shared" si="44"/>
        <v>0</v>
      </c>
      <c r="L95" s="40">
        <f t="shared" si="45"/>
        <v>0</v>
      </c>
      <c r="M95" s="40">
        <f t="shared" si="46"/>
        <v>221779</v>
      </c>
      <c r="N95" s="41">
        <f t="shared" si="47"/>
        <v>1453887</v>
      </c>
      <c r="O95" s="233">
        <f>J95*0.25%</f>
        <v>3080.27</v>
      </c>
      <c r="P95" s="350">
        <f t="shared" si="52"/>
        <v>2.5000000000000001E-3</v>
      </c>
      <c r="Q95" s="41">
        <f>1229027.73+221779</f>
        <v>1450806.73</v>
      </c>
      <c r="R95" s="246" t="s">
        <v>489</v>
      </c>
      <c r="S95" s="6" t="s">
        <v>74</v>
      </c>
      <c r="T95" s="10" t="s">
        <v>80</v>
      </c>
      <c r="U95" s="163">
        <f t="shared" ref="U95" si="53">N95-O95-Q95</f>
        <v>0</v>
      </c>
      <c r="V95" s="8" t="s">
        <v>494</v>
      </c>
    </row>
    <row r="96" spans="1:22" ht="30" customHeight="1" x14ac:dyDescent="0.3">
      <c r="A96" s="19">
        <f t="shared" si="50"/>
        <v>95</v>
      </c>
      <c r="B96" s="202" t="s">
        <v>559</v>
      </c>
      <c r="C96" s="205">
        <v>45808</v>
      </c>
      <c r="D96" s="205" t="s">
        <v>70</v>
      </c>
      <c r="E96" s="240" t="s">
        <v>298</v>
      </c>
      <c r="F96" s="205" t="s">
        <v>87</v>
      </c>
      <c r="G96" s="206">
        <v>24</v>
      </c>
      <c r="H96" s="8" t="s">
        <v>53</v>
      </c>
      <c r="I96" s="24" t="s">
        <v>300</v>
      </c>
      <c r="J96" s="162">
        <v>182534</v>
      </c>
      <c r="K96" s="148">
        <f t="shared" si="44"/>
        <v>0</v>
      </c>
      <c r="L96" s="40">
        <f t="shared" si="45"/>
        <v>0</v>
      </c>
      <c r="M96" s="40">
        <f t="shared" si="46"/>
        <v>32856</v>
      </c>
      <c r="N96" s="41">
        <f t="shared" si="47"/>
        <v>215390</v>
      </c>
      <c r="O96" s="233">
        <v>455.73</v>
      </c>
      <c r="P96" s="350">
        <f>O96/J96</f>
        <v>2.4966855489936121E-3</v>
      </c>
      <c r="Q96" s="41">
        <v>214934.27</v>
      </c>
      <c r="R96" s="5">
        <v>45817</v>
      </c>
      <c r="S96" s="6" t="s">
        <v>74</v>
      </c>
      <c r="T96" s="10" t="s">
        <v>80</v>
      </c>
      <c r="U96" s="10"/>
      <c r="V96" s="10"/>
    </row>
    <row r="97" spans="1:22" ht="30" customHeight="1" x14ac:dyDescent="0.3">
      <c r="A97" s="19">
        <f t="shared" si="50"/>
        <v>96</v>
      </c>
      <c r="B97" s="202" t="s">
        <v>559</v>
      </c>
      <c r="C97" s="205">
        <v>45808</v>
      </c>
      <c r="D97" s="205" t="s">
        <v>70</v>
      </c>
      <c r="E97" s="225" t="s">
        <v>296</v>
      </c>
      <c r="F97" s="205" t="s">
        <v>94</v>
      </c>
      <c r="G97" s="206">
        <v>24</v>
      </c>
      <c r="H97" s="8" t="s">
        <v>50</v>
      </c>
      <c r="I97" s="24" t="s">
        <v>314</v>
      </c>
      <c r="J97" s="162">
        <v>577065</v>
      </c>
      <c r="K97" s="148">
        <f>ROUND(IF(G97=36,J97*9%,0),0)</f>
        <v>0</v>
      </c>
      <c r="L97" s="40">
        <f>ROUND(IF(G97=36,J97*9%,0),0)</f>
        <v>0</v>
      </c>
      <c r="M97" s="40">
        <f>ROUND(IF(G97=36,J97*0%,J97*18%),0)</f>
        <v>103872</v>
      </c>
      <c r="N97" s="41">
        <f>J97+K97+L97+M97</f>
        <v>680937</v>
      </c>
      <c r="O97" s="21">
        <f>N97-Q97</f>
        <v>11541</v>
      </c>
      <c r="P97" s="349">
        <f>O97/J97</f>
        <v>1.999948012788854E-2</v>
      </c>
      <c r="Q97" s="23">
        <v>669396</v>
      </c>
      <c r="R97" s="5">
        <v>45817</v>
      </c>
      <c r="S97" s="6" t="s">
        <v>74</v>
      </c>
      <c r="T97" s="10" t="s">
        <v>96</v>
      </c>
      <c r="U97" s="10"/>
      <c r="V97" s="10"/>
    </row>
    <row r="98" spans="1:22" ht="30" customHeight="1" x14ac:dyDescent="0.3">
      <c r="A98" s="19">
        <f t="shared" si="50"/>
        <v>97</v>
      </c>
      <c r="B98" s="202" t="s">
        <v>559</v>
      </c>
      <c r="C98" s="205">
        <v>45808</v>
      </c>
      <c r="D98" s="205" t="s">
        <v>70</v>
      </c>
      <c r="E98" s="225" t="s">
        <v>295</v>
      </c>
      <c r="F98" s="205" t="s">
        <v>87</v>
      </c>
      <c r="G98" s="206">
        <v>24</v>
      </c>
      <c r="H98" s="8" t="s">
        <v>53</v>
      </c>
      <c r="I98" s="24" t="s">
        <v>302</v>
      </c>
      <c r="J98" s="162">
        <v>605646</v>
      </c>
      <c r="K98" s="41">
        <f>ROUND(IF(G98=36,J98*9%,0),0)</f>
        <v>0</v>
      </c>
      <c r="L98" s="201">
        <f>ROUND(IF(G98=36,J98*9%,0),0)</f>
        <v>0</v>
      </c>
      <c r="M98" s="40">
        <f>ROUND(IF(G98=36,J98*0%,J98*18%),0)</f>
        <v>109016</v>
      </c>
      <c r="N98" s="41">
        <f>J98+K98+L98+M98</f>
        <v>714662</v>
      </c>
      <c r="O98" s="21">
        <f>N98-Q98</f>
        <v>1513.7199999999721</v>
      </c>
      <c r="P98" s="349">
        <f>O98/J98</f>
        <v>2.4993478038325559E-3</v>
      </c>
      <c r="Q98" s="23">
        <f>713148.28</f>
        <v>713148.28</v>
      </c>
      <c r="R98" s="5">
        <v>45818</v>
      </c>
      <c r="S98" s="6" t="s">
        <v>74</v>
      </c>
      <c r="T98" s="10" t="s">
        <v>80</v>
      </c>
      <c r="U98" s="10"/>
      <c r="V98" s="10"/>
    </row>
    <row r="99" spans="1:22" ht="30" customHeight="1" x14ac:dyDescent="0.3">
      <c r="A99" s="19">
        <f t="shared" si="50"/>
        <v>98</v>
      </c>
      <c r="B99" s="202" t="s">
        <v>559</v>
      </c>
      <c r="C99" s="213">
        <v>45728</v>
      </c>
      <c r="D99" s="213" t="s">
        <v>70</v>
      </c>
      <c r="E99" s="225" t="s">
        <v>355</v>
      </c>
      <c r="F99" s="213" t="s">
        <v>142</v>
      </c>
      <c r="G99" s="214">
        <v>24</v>
      </c>
      <c r="H99" s="8" t="s">
        <v>46</v>
      </c>
      <c r="I99" s="24" t="s">
        <v>356</v>
      </c>
      <c r="J99" s="45">
        <v>375800</v>
      </c>
      <c r="K99" s="215">
        <f t="shared" si="44"/>
        <v>0</v>
      </c>
      <c r="L99" s="40">
        <f t="shared" si="45"/>
        <v>0</v>
      </c>
      <c r="M99" s="40">
        <f t="shared" si="46"/>
        <v>67644</v>
      </c>
      <c r="N99" s="41">
        <f t="shared" si="47"/>
        <v>443444</v>
      </c>
      <c r="O99" s="21">
        <f t="shared" si="51"/>
        <v>7516</v>
      </c>
      <c r="P99" s="349">
        <f t="shared" si="52"/>
        <v>0.02</v>
      </c>
      <c r="Q99" s="23">
        <f>N99-(J99*2%)</f>
        <v>435928</v>
      </c>
      <c r="R99" s="216">
        <v>45818</v>
      </c>
      <c r="S99" s="6" t="s">
        <v>74</v>
      </c>
      <c r="T99" s="10" t="s">
        <v>96</v>
      </c>
      <c r="U99" s="10"/>
      <c r="V99" s="10"/>
    </row>
    <row r="100" spans="1:22" ht="30" customHeight="1" x14ac:dyDescent="0.3">
      <c r="A100" s="19">
        <f t="shared" si="50"/>
        <v>99</v>
      </c>
      <c r="B100" s="202" t="s">
        <v>559</v>
      </c>
      <c r="C100" s="123">
        <v>45763</v>
      </c>
      <c r="D100" s="123" t="s">
        <v>70</v>
      </c>
      <c r="E100" s="225" t="s">
        <v>143</v>
      </c>
      <c r="F100" s="123" t="s">
        <v>142</v>
      </c>
      <c r="G100" s="124">
        <v>24</v>
      </c>
      <c r="H100" s="8" t="s">
        <v>46</v>
      </c>
      <c r="I100" s="24" t="s">
        <v>144</v>
      </c>
      <c r="J100" s="45">
        <v>375800</v>
      </c>
      <c r="K100" s="125">
        <f t="shared" si="44"/>
        <v>0</v>
      </c>
      <c r="L100" s="40">
        <f t="shared" si="45"/>
        <v>0</v>
      </c>
      <c r="M100" s="40">
        <f t="shared" si="46"/>
        <v>67644</v>
      </c>
      <c r="N100" s="41">
        <f t="shared" si="47"/>
        <v>443444</v>
      </c>
      <c r="O100" s="21">
        <f t="shared" si="51"/>
        <v>7516</v>
      </c>
      <c r="P100" s="349">
        <f t="shared" ref="P100:P102" si="54">O100/J100</f>
        <v>0.02</v>
      </c>
      <c r="Q100" s="23">
        <f>N100-(J100*2%)</f>
        <v>435928</v>
      </c>
      <c r="R100" s="68">
        <v>45818</v>
      </c>
      <c r="S100" s="6" t="s">
        <v>74</v>
      </c>
      <c r="T100" s="10" t="s">
        <v>96</v>
      </c>
      <c r="U100" s="10"/>
      <c r="V100" s="10"/>
    </row>
    <row r="101" spans="1:22" ht="30" customHeight="1" x14ac:dyDescent="0.3">
      <c r="A101" s="19">
        <f t="shared" si="50"/>
        <v>100</v>
      </c>
      <c r="B101" s="202" t="s">
        <v>559</v>
      </c>
      <c r="C101" s="46">
        <v>45784</v>
      </c>
      <c r="D101" s="123" t="s">
        <v>70</v>
      </c>
      <c r="E101" s="225" t="s">
        <v>246</v>
      </c>
      <c r="F101" s="123" t="s">
        <v>142</v>
      </c>
      <c r="G101" s="124">
        <v>24</v>
      </c>
      <c r="H101" s="8" t="s">
        <v>46</v>
      </c>
      <c r="I101" s="24" t="s">
        <v>247</v>
      </c>
      <c r="J101" s="45">
        <v>370100</v>
      </c>
      <c r="K101" s="125">
        <f t="shared" si="44"/>
        <v>0</v>
      </c>
      <c r="L101" s="40">
        <f t="shared" si="45"/>
        <v>0</v>
      </c>
      <c r="M101" s="40">
        <f t="shared" si="46"/>
        <v>66618</v>
      </c>
      <c r="N101" s="41">
        <f t="shared" si="47"/>
        <v>436718</v>
      </c>
      <c r="O101" s="21">
        <f t="shared" si="51"/>
        <v>7402</v>
      </c>
      <c r="P101" s="349">
        <f t="shared" si="54"/>
        <v>0.02</v>
      </c>
      <c r="Q101" s="23">
        <f>N101-(J101*2%)</f>
        <v>429316</v>
      </c>
      <c r="R101" s="68">
        <v>45818</v>
      </c>
      <c r="S101" s="6" t="s">
        <v>74</v>
      </c>
      <c r="T101" s="10" t="s">
        <v>96</v>
      </c>
      <c r="U101" s="10"/>
      <c r="V101" s="10"/>
    </row>
    <row r="102" spans="1:22" ht="30" customHeight="1" x14ac:dyDescent="0.3">
      <c r="A102" s="19">
        <f t="shared" si="50"/>
        <v>101</v>
      </c>
      <c r="B102" s="202" t="s">
        <v>559</v>
      </c>
      <c r="C102" s="46">
        <v>45819</v>
      </c>
      <c r="D102" s="167" t="s">
        <v>70</v>
      </c>
      <c r="E102" s="219" t="s">
        <v>360</v>
      </c>
      <c r="F102" s="167" t="s">
        <v>158</v>
      </c>
      <c r="G102" s="168">
        <v>21</v>
      </c>
      <c r="H102" s="8" t="s">
        <v>56</v>
      </c>
      <c r="I102" s="24" t="s">
        <v>362</v>
      </c>
      <c r="J102" s="45">
        <v>36781</v>
      </c>
      <c r="K102" s="169">
        <f t="shared" si="44"/>
        <v>0</v>
      </c>
      <c r="L102" s="40">
        <f t="shared" si="45"/>
        <v>0</v>
      </c>
      <c r="M102" s="40">
        <f t="shared" si="46"/>
        <v>6621</v>
      </c>
      <c r="N102" s="41">
        <f t="shared" si="47"/>
        <v>43402</v>
      </c>
      <c r="O102" s="21">
        <f t="shared" ref="O102" si="55">J102*0.25%</f>
        <v>91.952500000000001</v>
      </c>
      <c r="P102" s="349">
        <f t="shared" si="54"/>
        <v>2.5000000000000001E-3</v>
      </c>
      <c r="Q102" s="23">
        <f>42818+473</f>
        <v>43291</v>
      </c>
      <c r="R102" s="263" t="s">
        <v>526</v>
      </c>
      <c r="S102" s="6" t="s">
        <v>74</v>
      </c>
      <c r="T102" s="10" t="s">
        <v>96</v>
      </c>
      <c r="U102" s="66">
        <f t="shared" ref="U102" si="56">N102-O102-Q102</f>
        <v>19.047500000000582</v>
      </c>
      <c r="V102" s="8"/>
    </row>
    <row r="103" spans="1:22" ht="30" customHeight="1" x14ac:dyDescent="0.3">
      <c r="A103" s="19">
        <f t="shared" si="50"/>
        <v>102</v>
      </c>
      <c r="B103" s="202" t="s">
        <v>559</v>
      </c>
      <c r="C103" s="46">
        <v>45817</v>
      </c>
      <c r="D103" s="171" t="s">
        <v>70</v>
      </c>
      <c r="E103" s="225" t="s">
        <v>349</v>
      </c>
      <c r="F103" s="171" t="s">
        <v>110</v>
      </c>
      <c r="G103" s="172">
        <v>37</v>
      </c>
      <c r="H103" s="8" t="s">
        <v>59</v>
      </c>
      <c r="I103" s="24" t="s">
        <v>353</v>
      </c>
      <c r="J103" s="45">
        <v>710725</v>
      </c>
      <c r="K103" s="173">
        <f>ROUND(IF(G103=36,J103*9%,0),0)</f>
        <v>0</v>
      </c>
      <c r="L103" s="40">
        <f>ROUND(IF(G103=36,J103*9%,0),0)</f>
        <v>0</v>
      </c>
      <c r="M103" s="40">
        <f>ROUND(IF(G103=36,J103*0%,J103*18%),0)</f>
        <v>127931</v>
      </c>
      <c r="N103" s="41">
        <f>J103+K103+L103+M103</f>
        <v>838656</v>
      </c>
      <c r="O103" s="21">
        <f>N103-Q103</f>
        <v>1777.0100000000093</v>
      </c>
      <c r="P103" s="349">
        <f t="shared" ref="P103:P107" si="57">O103/J103</f>
        <v>2.5002778852580244E-3</v>
      </c>
      <c r="Q103" s="23">
        <f>836878.99</f>
        <v>836878.99</v>
      </c>
      <c r="R103" s="5">
        <v>45819</v>
      </c>
      <c r="S103" s="6" t="s">
        <v>74</v>
      </c>
      <c r="T103" s="10" t="s">
        <v>248</v>
      </c>
      <c r="U103" s="10"/>
      <c r="V103" s="10"/>
    </row>
    <row r="104" spans="1:22" ht="30" customHeight="1" x14ac:dyDescent="0.3">
      <c r="A104" s="19">
        <f t="shared" si="50"/>
        <v>103</v>
      </c>
      <c r="B104" s="202" t="s">
        <v>559</v>
      </c>
      <c r="C104" s="46">
        <v>45817</v>
      </c>
      <c r="D104" s="171" t="s">
        <v>70</v>
      </c>
      <c r="E104" s="207" t="s">
        <v>339</v>
      </c>
      <c r="F104" s="171" t="s">
        <v>115</v>
      </c>
      <c r="G104" s="172">
        <v>5</v>
      </c>
      <c r="H104" s="8" t="s">
        <v>63</v>
      </c>
      <c r="I104" s="24" t="s">
        <v>346</v>
      </c>
      <c r="J104" s="45">
        <v>1442142</v>
      </c>
      <c r="K104" s="173">
        <f>ROUND(IF(G104=36,J104*9%,0),0)</f>
        <v>0</v>
      </c>
      <c r="L104" s="40">
        <f>ROUND(IF(G104=36,J104*9%,0),0)</f>
        <v>0</v>
      </c>
      <c r="M104" s="40">
        <f>ROUND(IF(G104=36,J104*0%,J104*18%),0)</f>
        <v>259586</v>
      </c>
      <c r="N104" s="41">
        <f>J104+K104+L104+M104</f>
        <v>1701728</v>
      </c>
      <c r="O104" s="21">
        <f>N104-Q104</f>
        <v>3605.5600000000559</v>
      </c>
      <c r="P104" s="349">
        <f t="shared" si="57"/>
        <v>2.5001421496635254E-3</v>
      </c>
      <c r="Q104" s="23">
        <f>1698122.44</f>
        <v>1698122.44</v>
      </c>
      <c r="R104" s="5">
        <v>45819</v>
      </c>
      <c r="S104" s="6" t="s">
        <v>74</v>
      </c>
      <c r="T104" s="10" t="s">
        <v>248</v>
      </c>
      <c r="U104" s="10"/>
      <c r="V104" s="10"/>
    </row>
    <row r="105" spans="1:22" ht="30" customHeight="1" x14ac:dyDescent="0.3">
      <c r="A105" s="19">
        <f t="shared" si="50"/>
        <v>104</v>
      </c>
      <c r="B105" s="202" t="s">
        <v>559</v>
      </c>
      <c r="C105" s="46">
        <v>45817</v>
      </c>
      <c r="D105" s="171" t="s">
        <v>70</v>
      </c>
      <c r="E105" s="211" t="s">
        <v>338</v>
      </c>
      <c r="F105" s="171" t="s">
        <v>99</v>
      </c>
      <c r="G105" s="172">
        <v>27</v>
      </c>
      <c r="H105" s="8" t="s">
        <v>62</v>
      </c>
      <c r="I105" s="24" t="s">
        <v>345</v>
      </c>
      <c r="J105" s="45">
        <v>912451</v>
      </c>
      <c r="K105" s="173">
        <f>ROUND(IF(G105=36,J105*9%,0),0)</f>
        <v>0</v>
      </c>
      <c r="L105" s="40">
        <f>ROUND(IF(G105=36,J105*9%,0),0)</f>
        <v>0</v>
      </c>
      <c r="M105" s="40">
        <f>ROUND(IF(G105=36,J105*0%,J105*18%),0)</f>
        <v>164241</v>
      </c>
      <c r="N105" s="41">
        <f>J105+K105+L105+M105</f>
        <v>1076692</v>
      </c>
      <c r="O105" s="21">
        <f>N105-Q105</f>
        <v>2280.8100000000559</v>
      </c>
      <c r="P105" s="349">
        <f t="shared" si="57"/>
        <v>2.4996520361093974E-3</v>
      </c>
      <c r="Q105" s="23">
        <f>1074411.19</f>
        <v>1074411.19</v>
      </c>
      <c r="R105" s="5">
        <v>45819</v>
      </c>
      <c r="S105" s="6" t="s">
        <v>74</v>
      </c>
      <c r="T105" s="10" t="s">
        <v>248</v>
      </c>
      <c r="U105" s="10"/>
      <c r="V105" s="10"/>
    </row>
    <row r="106" spans="1:22" ht="30" customHeight="1" x14ac:dyDescent="0.3">
      <c r="A106" s="19">
        <f t="shared" si="50"/>
        <v>105</v>
      </c>
      <c r="B106" s="202" t="s">
        <v>559</v>
      </c>
      <c r="C106" s="46">
        <v>45817</v>
      </c>
      <c r="D106" s="171" t="s">
        <v>70</v>
      </c>
      <c r="E106" s="210" t="s">
        <v>337</v>
      </c>
      <c r="F106" s="171" t="s">
        <v>99</v>
      </c>
      <c r="G106" s="172">
        <v>27</v>
      </c>
      <c r="H106" s="8" t="s">
        <v>62</v>
      </c>
      <c r="I106" s="24" t="s">
        <v>344</v>
      </c>
      <c r="J106" s="45">
        <v>626508</v>
      </c>
      <c r="K106" s="173">
        <f>ROUND(IF(G106=36,J106*9%,0),0)</f>
        <v>0</v>
      </c>
      <c r="L106" s="40">
        <f>ROUND(IF(G106=36,J106*9%,0),0)</f>
        <v>0</v>
      </c>
      <c r="M106" s="40">
        <f>ROUND(IF(G106=36,J106*0%,J106*18%),0)</f>
        <v>112771</v>
      </c>
      <c r="N106" s="41">
        <f>J106+K106+L106+M106</f>
        <v>739279</v>
      </c>
      <c r="O106" s="21">
        <f>N106-Q106</f>
        <v>1565.3199999999488</v>
      </c>
      <c r="P106" s="349">
        <f t="shared" si="57"/>
        <v>2.4984836586283794E-3</v>
      </c>
      <c r="Q106" s="23">
        <f>737713.68</f>
        <v>737713.68</v>
      </c>
      <c r="R106" s="5">
        <v>45819</v>
      </c>
      <c r="S106" s="6" t="s">
        <v>74</v>
      </c>
      <c r="T106" s="10" t="s">
        <v>248</v>
      </c>
      <c r="U106" s="10"/>
      <c r="V106" s="10"/>
    </row>
    <row r="107" spans="1:22" ht="30" customHeight="1" x14ac:dyDescent="0.3">
      <c r="A107" s="19">
        <f t="shared" si="50"/>
        <v>106</v>
      </c>
      <c r="B107" s="202" t="s">
        <v>559</v>
      </c>
      <c r="C107" s="46">
        <v>45803</v>
      </c>
      <c r="D107" s="171" t="s">
        <v>70</v>
      </c>
      <c r="E107" s="185" t="s">
        <v>271</v>
      </c>
      <c r="F107" s="171" t="s">
        <v>110</v>
      </c>
      <c r="G107" s="172">
        <v>37</v>
      </c>
      <c r="H107" s="8" t="s">
        <v>59</v>
      </c>
      <c r="I107" s="24" t="s">
        <v>277</v>
      </c>
      <c r="J107" s="45">
        <v>28306</v>
      </c>
      <c r="K107" s="173">
        <f>ROUND(IF(G107=36,J107*9%,0),0)</f>
        <v>0</v>
      </c>
      <c r="L107" s="40">
        <f>ROUND(IF(G107=36,J107*9%,0),0)</f>
        <v>0</v>
      </c>
      <c r="M107" s="40">
        <f>ROUND(IF(G107=36,J107*0%,J107*18%),0)</f>
        <v>5095</v>
      </c>
      <c r="N107" s="41">
        <f>J107+K107+L107+M107</f>
        <v>33401</v>
      </c>
      <c r="O107" s="21">
        <f>N107-Q107</f>
        <v>71</v>
      </c>
      <c r="P107" s="349">
        <f t="shared" si="57"/>
        <v>2.508302126757578E-3</v>
      </c>
      <c r="Q107" s="23">
        <f>33330</f>
        <v>33330</v>
      </c>
      <c r="R107" s="5">
        <v>45819</v>
      </c>
      <c r="S107" s="6" t="s">
        <v>74</v>
      </c>
      <c r="T107" s="10" t="s">
        <v>248</v>
      </c>
      <c r="U107" s="10"/>
      <c r="V107" s="10"/>
    </row>
    <row r="108" spans="1:22" ht="30" customHeight="1" x14ac:dyDescent="0.3">
      <c r="A108" s="19">
        <f t="shared" si="50"/>
        <v>107</v>
      </c>
      <c r="B108" s="202" t="s">
        <v>559</v>
      </c>
      <c r="C108" s="46">
        <v>45803</v>
      </c>
      <c r="D108" s="171" t="s">
        <v>70</v>
      </c>
      <c r="E108" s="185" t="s">
        <v>270</v>
      </c>
      <c r="F108" s="171" t="s">
        <v>110</v>
      </c>
      <c r="G108" s="172">
        <v>37</v>
      </c>
      <c r="H108" s="8" t="s">
        <v>59</v>
      </c>
      <c r="I108" s="24" t="s">
        <v>276</v>
      </c>
      <c r="J108" s="45">
        <v>31318</v>
      </c>
      <c r="K108" s="173">
        <f t="shared" si="44"/>
        <v>0</v>
      </c>
      <c r="L108" s="40">
        <f t="shared" si="45"/>
        <v>0</v>
      </c>
      <c r="M108" s="40">
        <f t="shared" si="46"/>
        <v>5637</v>
      </c>
      <c r="N108" s="41">
        <f t="shared" si="47"/>
        <v>36955</v>
      </c>
      <c r="O108" s="21">
        <f t="shared" ref="O108" si="58">N108-Q108</f>
        <v>77.349999999998545</v>
      </c>
      <c r="P108" s="349">
        <f t="shared" ref="P108" si="59">O108/J108</f>
        <v>2.469825659365175E-3</v>
      </c>
      <c r="Q108" s="23">
        <f>36877.65</f>
        <v>36877.65</v>
      </c>
      <c r="R108" s="5">
        <v>45819</v>
      </c>
      <c r="S108" s="6" t="s">
        <v>74</v>
      </c>
      <c r="T108" s="10" t="s">
        <v>248</v>
      </c>
      <c r="U108" s="10"/>
      <c r="V108" s="10"/>
    </row>
    <row r="109" spans="1:22" ht="30" customHeight="1" x14ac:dyDescent="0.3">
      <c r="A109" s="19">
        <f t="shared" si="50"/>
        <v>108</v>
      </c>
      <c r="B109" s="202" t="s">
        <v>559</v>
      </c>
      <c r="C109" s="46">
        <v>45817</v>
      </c>
      <c r="D109" s="171" t="s">
        <v>70</v>
      </c>
      <c r="E109" s="212" t="s">
        <v>350</v>
      </c>
      <c r="F109" s="171" t="s">
        <v>115</v>
      </c>
      <c r="G109" s="172">
        <v>5</v>
      </c>
      <c r="H109" s="8" t="s">
        <v>63</v>
      </c>
      <c r="I109" s="24" t="s">
        <v>354</v>
      </c>
      <c r="J109" s="45">
        <v>154655</v>
      </c>
      <c r="K109" s="173">
        <f t="shared" si="44"/>
        <v>0</v>
      </c>
      <c r="L109" s="40">
        <f t="shared" si="45"/>
        <v>0</v>
      </c>
      <c r="M109" s="40">
        <f t="shared" si="46"/>
        <v>27838</v>
      </c>
      <c r="N109" s="41">
        <f t="shared" si="47"/>
        <v>182493</v>
      </c>
      <c r="O109" s="21">
        <f t="shared" ref="O109:O115" si="60">N109-Q109</f>
        <v>386.98000000001048</v>
      </c>
      <c r="P109" s="349">
        <f t="shared" ref="P109:P115" si="61">O109/J109</f>
        <v>2.5022146067053149E-3</v>
      </c>
      <c r="Q109" s="23">
        <v>182106.02</v>
      </c>
      <c r="R109" s="5">
        <v>45819</v>
      </c>
      <c r="S109" s="6" t="s">
        <v>74</v>
      </c>
      <c r="T109" s="10" t="s">
        <v>248</v>
      </c>
      <c r="U109" s="10"/>
      <c r="V109" s="10"/>
    </row>
    <row r="110" spans="1:22" ht="30" customHeight="1" x14ac:dyDescent="0.3">
      <c r="A110" s="19">
        <f t="shared" si="50"/>
        <v>109</v>
      </c>
      <c r="B110" s="202" t="s">
        <v>559</v>
      </c>
      <c r="C110" s="46">
        <v>45817</v>
      </c>
      <c r="D110" s="171" t="s">
        <v>70</v>
      </c>
      <c r="E110" s="207" t="s">
        <v>336</v>
      </c>
      <c r="F110" s="171" t="s">
        <v>110</v>
      </c>
      <c r="G110" s="172">
        <v>37</v>
      </c>
      <c r="H110" s="8" t="s">
        <v>59</v>
      </c>
      <c r="I110" s="24" t="s">
        <v>343</v>
      </c>
      <c r="J110" s="45">
        <v>7877937</v>
      </c>
      <c r="K110" s="173">
        <f t="shared" si="44"/>
        <v>0</v>
      </c>
      <c r="L110" s="40">
        <f t="shared" si="45"/>
        <v>0</v>
      </c>
      <c r="M110" s="40">
        <f t="shared" si="46"/>
        <v>1418029</v>
      </c>
      <c r="N110" s="41">
        <f t="shared" si="47"/>
        <v>9295966</v>
      </c>
      <c r="O110" s="21">
        <f t="shared" si="60"/>
        <v>19695.339999999851</v>
      </c>
      <c r="P110" s="349">
        <f t="shared" si="61"/>
        <v>2.500063151050821E-3</v>
      </c>
      <c r="Q110" s="23">
        <f>9276270.66</f>
        <v>9276270.6600000001</v>
      </c>
      <c r="R110" s="5">
        <v>45820</v>
      </c>
      <c r="S110" s="6" t="s">
        <v>74</v>
      </c>
      <c r="T110" s="10" t="s">
        <v>248</v>
      </c>
      <c r="U110" s="10"/>
      <c r="V110" s="10"/>
    </row>
    <row r="111" spans="1:22" ht="30" customHeight="1" x14ac:dyDescent="0.3">
      <c r="A111" s="19">
        <f t="shared" si="50"/>
        <v>110</v>
      </c>
      <c r="B111" s="202" t="s">
        <v>559</v>
      </c>
      <c r="C111" s="46">
        <v>45817</v>
      </c>
      <c r="D111" s="171" t="s">
        <v>70</v>
      </c>
      <c r="E111" s="212" t="s">
        <v>347</v>
      </c>
      <c r="F111" s="171" t="s">
        <v>110</v>
      </c>
      <c r="G111" s="172">
        <v>37</v>
      </c>
      <c r="H111" s="8" t="s">
        <v>59</v>
      </c>
      <c r="I111" s="24" t="s">
        <v>351</v>
      </c>
      <c r="J111" s="45">
        <v>2392568</v>
      </c>
      <c r="K111" s="173">
        <f t="shared" si="44"/>
        <v>0</v>
      </c>
      <c r="L111" s="40">
        <f t="shared" si="45"/>
        <v>0</v>
      </c>
      <c r="M111" s="40">
        <f t="shared" si="46"/>
        <v>430662</v>
      </c>
      <c r="N111" s="41">
        <f t="shared" si="47"/>
        <v>2823230</v>
      </c>
      <c r="O111" s="21">
        <f t="shared" si="60"/>
        <v>5980.7599999997765</v>
      </c>
      <c r="P111" s="349">
        <f t="shared" si="61"/>
        <v>2.4997241457713122E-3</v>
      </c>
      <c r="Q111" s="23">
        <f>2817249.24</f>
        <v>2817249.24</v>
      </c>
      <c r="R111" s="5">
        <v>45820</v>
      </c>
      <c r="S111" s="6" t="s">
        <v>74</v>
      </c>
      <c r="T111" s="10" t="s">
        <v>248</v>
      </c>
      <c r="U111" s="10"/>
      <c r="V111" s="10"/>
    </row>
    <row r="112" spans="1:22" ht="30" customHeight="1" x14ac:dyDescent="0.3">
      <c r="A112" s="19">
        <f t="shared" si="50"/>
        <v>111</v>
      </c>
      <c r="B112" s="202" t="s">
        <v>559</v>
      </c>
      <c r="C112" s="46">
        <v>45817</v>
      </c>
      <c r="D112" s="171" t="s">
        <v>70</v>
      </c>
      <c r="E112" s="211" t="s">
        <v>335</v>
      </c>
      <c r="F112" s="171" t="s">
        <v>110</v>
      </c>
      <c r="G112" s="172">
        <v>37</v>
      </c>
      <c r="H112" s="8" t="s">
        <v>59</v>
      </c>
      <c r="I112" s="24" t="s">
        <v>342</v>
      </c>
      <c r="J112" s="45">
        <v>2421776</v>
      </c>
      <c r="K112" s="173">
        <f t="shared" si="44"/>
        <v>0</v>
      </c>
      <c r="L112" s="40">
        <f t="shared" si="45"/>
        <v>0</v>
      </c>
      <c r="M112" s="40">
        <f t="shared" si="46"/>
        <v>435920</v>
      </c>
      <c r="N112" s="41">
        <f t="shared" si="47"/>
        <v>2857696</v>
      </c>
      <c r="O112" s="21">
        <f t="shared" si="60"/>
        <v>6054.3199999998324</v>
      </c>
      <c r="P112" s="349">
        <f t="shared" si="61"/>
        <v>2.4999504495873408E-3</v>
      </c>
      <c r="Q112" s="23">
        <f>2851641.68</f>
        <v>2851641.68</v>
      </c>
      <c r="R112" s="5">
        <v>45820</v>
      </c>
      <c r="S112" s="6" t="s">
        <v>74</v>
      </c>
      <c r="T112" s="10" t="s">
        <v>248</v>
      </c>
      <c r="U112" s="10"/>
      <c r="V112" s="10"/>
    </row>
    <row r="113" spans="1:22" ht="30" customHeight="1" x14ac:dyDescent="0.3">
      <c r="A113" s="19">
        <f t="shared" si="50"/>
        <v>112</v>
      </c>
      <c r="B113" s="202" t="s">
        <v>559</v>
      </c>
      <c r="C113" s="46">
        <v>45817</v>
      </c>
      <c r="D113" s="171" t="s">
        <v>70</v>
      </c>
      <c r="E113" s="212" t="s">
        <v>348</v>
      </c>
      <c r="F113" s="171" t="s">
        <v>110</v>
      </c>
      <c r="G113" s="172">
        <v>37</v>
      </c>
      <c r="H113" s="8" t="s">
        <v>59</v>
      </c>
      <c r="I113" s="24" t="s">
        <v>352</v>
      </c>
      <c r="J113" s="45">
        <v>2116048</v>
      </c>
      <c r="K113" s="173">
        <f t="shared" si="44"/>
        <v>0</v>
      </c>
      <c r="L113" s="40">
        <f t="shared" si="45"/>
        <v>0</v>
      </c>
      <c r="M113" s="40">
        <f t="shared" si="46"/>
        <v>380889</v>
      </c>
      <c r="N113" s="41">
        <f t="shared" si="47"/>
        <v>2496937</v>
      </c>
      <c r="O113" s="21">
        <f t="shared" si="60"/>
        <v>5290.3599999998696</v>
      </c>
      <c r="P113" s="349">
        <f t="shared" si="61"/>
        <v>2.5001134189772014E-3</v>
      </c>
      <c r="Q113" s="23">
        <f>2491646.64</f>
        <v>2491646.64</v>
      </c>
      <c r="R113" s="5">
        <v>45820</v>
      </c>
      <c r="S113" s="6" t="s">
        <v>74</v>
      </c>
      <c r="T113" s="10" t="s">
        <v>248</v>
      </c>
      <c r="U113" s="10"/>
      <c r="V113" s="10"/>
    </row>
    <row r="114" spans="1:22" ht="30" customHeight="1" x14ac:dyDescent="0.3">
      <c r="A114" s="19">
        <f t="shared" si="50"/>
        <v>113</v>
      </c>
      <c r="B114" s="202" t="s">
        <v>559</v>
      </c>
      <c r="C114" s="46">
        <v>45817</v>
      </c>
      <c r="D114" s="171" t="s">
        <v>70</v>
      </c>
      <c r="E114" s="210" t="s">
        <v>334</v>
      </c>
      <c r="F114" s="171" t="s">
        <v>110</v>
      </c>
      <c r="G114" s="172">
        <v>37</v>
      </c>
      <c r="H114" s="8" t="s">
        <v>59</v>
      </c>
      <c r="I114" s="24" t="s">
        <v>341</v>
      </c>
      <c r="J114" s="45">
        <v>2673323</v>
      </c>
      <c r="K114" s="173">
        <f t="shared" si="44"/>
        <v>0</v>
      </c>
      <c r="L114" s="40">
        <f t="shared" si="45"/>
        <v>0</v>
      </c>
      <c r="M114" s="40">
        <f t="shared" si="46"/>
        <v>481198</v>
      </c>
      <c r="N114" s="41">
        <f t="shared" si="47"/>
        <v>3154521</v>
      </c>
      <c r="O114" s="21">
        <f t="shared" si="60"/>
        <v>6682.8599999998696</v>
      </c>
      <c r="P114" s="349">
        <f t="shared" si="61"/>
        <v>2.4998326053379521E-3</v>
      </c>
      <c r="Q114" s="23">
        <f>3147838.14</f>
        <v>3147838.14</v>
      </c>
      <c r="R114" s="5">
        <v>45820</v>
      </c>
      <c r="S114" s="6" t="s">
        <v>74</v>
      </c>
      <c r="T114" s="10" t="s">
        <v>248</v>
      </c>
      <c r="U114" s="10"/>
      <c r="V114" s="10"/>
    </row>
    <row r="115" spans="1:22" ht="30" customHeight="1" x14ac:dyDescent="0.3">
      <c r="A115" s="19">
        <f t="shared" si="50"/>
        <v>114</v>
      </c>
      <c r="B115" s="202" t="s">
        <v>559</v>
      </c>
      <c r="C115" s="46">
        <v>45817</v>
      </c>
      <c r="D115" s="171" t="s">
        <v>70</v>
      </c>
      <c r="E115" s="207" t="s">
        <v>333</v>
      </c>
      <c r="F115" s="171" t="s">
        <v>72</v>
      </c>
      <c r="G115" s="172">
        <v>24</v>
      </c>
      <c r="H115" s="8" t="s">
        <v>61</v>
      </c>
      <c r="I115" s="24" t="s">
        <v>340</v>
      </c>
      <c r="J115" s="45">
        <v>2283917</v>
      </c>
      <c r="K115" s="173">
        <f t="shared" si="44"/>
        <v>0</v>
      </c>
      <c r="L115" s="40">
        <f t="shared" si="45"/>
        <v>0</v>
      </c>
      <c r="M115" s="40">
        <f t="shared" si="46"/>
        <v>411105</v>
      </c>
      <c r="N115" s="41">
        <f t="shared" si="47"/>
        <v>2695022</v>
      </c>
      <c r="O115" s="21">
        <f t="shared" si="60"/>
        <v>45677.870000000112</v>
      </c>
      <c r="P115" s="349">
        <f t="shared" si="61"/>
        <v>1.9999794213187306E-2</v>
      </c>
      <c r="Q115" s="23">
        <f>2649344.13</f>
        <v>2649344.13</v>
      </c>
      <c r="R115" s="5">
        <v>45820</v>
      </c>
      <c r="S115" s="6" t="s">
        <v>74</v>
      </c>
      <c r="T115" s="10" t="s">
        <v>248</v>
      </c>
      <c r="U115" s="10"/>
      <c r="V115" s="10"/>
    </row>
    <row r="116" spans="1:22" ht="30" customHeight="1" x14ac:dyDescent="0.3">
      <c r="A116" s="19">
        <f t="shared" si="50"/>
        <v>115</v>
      </c>
      <c r="B116" s="202" t="s">
        <v>559</v>
      </c>
      <c r="C116" s="46">
        <v>45790</v>
      </c>
      <c r="D116" s="46" t="s">
        <v>33</v>
      </c>
      <c r="E116" s="179" t="s">
        <v>249</v>
      </c>
      <c r="F116" s="137" t="s">
        <v>34</v>
      </c>
      <c r="G116" s="138">
        <v>36</v>
      </c>
      <c r="H116" s="8" t="s">
        <v>55</v>
      </c>
      <c r="I116" s="24" t="s">
        <v>250</v>
      </c>
      <c r="J116" s="45">
        <v>72050</v>
      </c>
      <c r="K116" s="139">
        <f t="shared" si="44"/>
        <v>6485</v>
      </c>
      <c r="L116" s="40">
        <f t="shared" si="45"/>
        <v>6485</v>
      </c>
      <c r="M116" s="40">
        <f t="shared" si="46"/>
        <v>0</v>
      </c>
      <c r="N116" s="41">
        <f t="shared" si="47"/>
        <v>85020</v>
      </c>
      <c r="O116" s="21">
        <f>N116-Q116</f>
        <v>7205</v>
      </c>
      <c r="P116" s="349">
        <f>O116/J116</f>
        <v>0.1</v>
      </c>
      <c r="Q116" s="23">
        <v>77815</v>
      </c>
      <c r="R116" s="5">
        <v>45821</v>
      </c>
      <c r="S116" s="6" t="s">
        <v>74</v>
      </c>
      <c r="T116" s="10" t="s">
        <v>124</v>
      </c>
      <c r="U116" s="10"/>
      <c r="V116" s="10"/>
    </row>
    <row r="117" spans="1:22" ht="30" customHeight="1" x14ac:dyDescent="0.3">
      <c r="A117" s="19">
        <f t="shared" si="50"/>
        <v>116</v>
      </c>
      <c r="B117" s="202" t="s">
        <v>559</v>
      </c>
      <c r="C117" s="46">
        <v>45798</v>
      </c>
      <c r="D117" s="130" t="s">
        <v>129</v>
      </c>
      <c r="E117" s="257" t="s">
        <v>267</v>
      </c>
      <c r="F117" s="130" t="s">
        <v>131</v>
      </c>
      <c r="G117" s="131">
        <v>36</v>
      </c>
      <c r="H117" s="8" t="s">
        <v>51</v>
      </c>
      <c r="I117" s="24" t="s">
        <v>268</v>
      </c>
      <c r="J117" s="45">
        <f>4*200</f>
        <v>800</v>
      </c>
      <c r="K117" s="132">
        <f t="shared" si="44"/>
        <v>72</v>
      </c>
      <c r="L117" s="40">
        <f t="shared" si="45"/>
        <v>72</v>
      </c>
      <c r="M117" s="40">
        <f t="shared" si="46"/>
        <v>0</v>
      </c>
      <c r="N117" s="41">
        <f t="shared" si="47"/>
        <v>944</v>
      </c>
      <c r="O117" s="21">
        <f>N117-Q117</f>
        <v>80</v>
      </c>
      <c r="P117" s="349">
        <f t="shared" ref="P117" si="62">O117/J117</f>
        <v>0.1</v>
      </c>
      <c r="Q117" s="23">
        <v>864</v>
      </c>
      <c r="R117" s="5">
        <v>45825</v>
      </c>
      <c r="S117" s="6" t="s">
        <v>74</v>
      </c>
      <c r="T117" s="10" t="s">
        <v>147</v>
      </c>
      <c r="U117" s="10"/>
      <c r="V117" s="10"/>
    </row>
    <row r="118" spans="1:22" ht="30" customHeight="1" x14ac:dyDescent="0.3">
      <c r="A118" s="19">
        <f t="shared" si="50"/>
        <v>117</v>
      </c>
      <c r="B118" s="202" t="s">
        <v>559</v>
      </c>
      <c r="C118" s="46">
        <v>45798</v>
      </c>
      <c r="D118" s="130" t="s">
        <v>129</v>
      </c>
      <c r="E118" s="257" t="s">
        <v>266</v>
      </c>
      <c r="F118" s="130" t="s">
        <v>146</v>
      </c>
      <c r="G118" s="131">
        <v>36</v>
      </c>
      <c r="H118" s="8" t="s">
        <v>52</v>
      </c>
      <c r="I118" s="24" t="s">
        <v>268</v>
      </c>
      <c r="J118" s="45">
        <f>89*200</f>
        <v>17800</v>
      </c>
      <c r="K118" s="132">
        <f t="shared" si="44"/>
        <v>1602</v>
      </c>
      <c r="L118" s="40">
        <f t="shared" si="45"/>
        <v>1602</v>
      </c>
      <c r="M118" s="40">
        <f t="shared" si="46"/>
        <v>0</v>
      </c>
      <c r="N118" s="41">
        <f t="shared" si="47"/>
        <v>21004</v>
      </c>
      <c r="O118" s="21">
        <f>N118-Q118</f>
        <v>1780</v>
      </c>
      <c r="P118" s="349">
        <f>O118/J118</f>
        <v>0.1</v>
      </c>
      <c r="Q118" s="23">
        <v>19224</v>
      </c>
      <c r="R118" s="5">
        <v>45829</v>
      </c>
      <c r="S118" s="6" t="s">
        <v>74</v>
      </c>
      <c r="T118" s="10" t="s">
        <v>147</v>
      </c>
      <c r="U118" s="10"/>
      <c r="V118" s="10"/>
    </row>
    <row r="119" spans="1:22" ht="30" customHeight="1" x14ac:dyDescent="0.3">
      <c r="A119" s="19">
        <f t="shared" si="50"/>
        <v>118</v>
      </c>
      <c r="B119" s="202" t="s">
        <v>559</v>
      </c>
      <c r="C119" s="46">
        <v>45812</v>
      </c>
      <c r="D119" s="75" t="s">
        <v>70</v>
      </c>
      <c r="E119" s="257" t="s">
        <v>315</v>
      </c>
      <c r="F119" s="75" t="s">
        <v>72</v>
      </c>
      <c r="G119" s="76">
        <v>24</v>
      </c>
      <c r="H119" s="8" t="s">
        <v>61</v>
      </c>
      <c r="I119" s="24" t="s">
        <v>316</v>
      </c>
      <c r="J119" s="45">
        <v>268850</v>
      </c>
      <c r="K119" s="43">
        <f t="shared" si="44"/>
        <v>0</v>
      </c>
      <c r="L119" s="40">
        <f t="shared" si="45"/>
        <v>0</v>
      </c>
      <c r="M119" s="40">
        <f t="shared" si="46"/>
        <v>48393</v>
      </c>
      <c r="N119" s="41">
        <f t="shared" si="47"/>
        <v>317243</v>
      </c>
      <c r="O119" s="21">
        <f>N119-Q119</f>
        <v>0</v>
      </c>
      <c r="P119" s="349">
        <f t="shared" ref="P119" si="63">O119/J119</f>
        <v>0</v>
      </c>
      <c r="Q119" s="23">
        <f>N119-M119-M119+48393+48393</f>
        <v>317243</v>
      </c>
      <c r="R119" s="258" t="s">
        <v>522</v>
      </c>
      <c r="S119" s="6" t="s">
        <v>74</v>
      </c>
      <c r="T119" s="10" t="s">
        <v>75</v>
      </c>
      <c r="U119" s="8" t="s">
        <v>396</v>
      </c>
      <c r="V119" s="10"/>
    </row>
    <row r="120" spans="1:22" ht="30" customHeight="1" x14ac:dyDescent="0.3">
      <c r="A120" s="19">
        <f t="shared" si="50"/>
        <v>119</v>
      </c>
      <c r="B120" s="202" t="s">
        <v>559</v>
      </c>
      <c r="C120" s="222">
        <v>45826</v>
      </c>
      <c r="D120" s="227" t="s">
        <v>33</v>
      </c>
      <c r="E120" s="257" t="s">
        <v>372</v>
      </c>
      <c r="F120" s="171" t="s">
        <v>110</v>
      </c>
      <c r="G120" s="172">
        <v>37</v>
      </c>
      <c r="H120" s="8" t="s">
        <v>59</v>
      </c>
      <c r="I120" s="24" t="s">
        <v>375</v>
      </c>
      <c r="J120" s="45">
        <v>549900</v>
      </c>
      <c r="K120" s="173">
        <f t="shared" si="44"/>
        <v>0</v>
      </c>
      <c r="L120" s="40">
        <f t="shared" si="45"/>
        <v>0</v>
      </c>
      <c r="M120" s="40">
        <f t="shared" si="46"/>
        <v>98982</v>
      </c>
      <c r="N120" s="41">
        <f t="shared" si="47"/>
        <v>648882</v>
      </c>
      <c r="O120" s="21">
        <f>J120*0.25%</f>
        <v>1374.75</v>
      </c>
      <c r="P120" s="349">
        <f t="shared" ref="P120:P127" si="64">O120/J120</f>
        <v>2.5000000000000001E-3</v>
      </c>
      <c r="Q120" s="23">
        <v>647507.03</v>
      </c>
      <c r="R120" s="67">
        <v>45832</v>
      </c>
      <c r="S120" s="6" t="s">
        <v>74</v>
      </c>
      <c r="T120" s="10" t="s">
        <v>248</v>
      </c>
      <c r="U120" s="66"/>
      <c r="V120" s="8"/>
    </row>
    <row r="121" spans="1:22" ht="30" customHeight="1" x14ac:dyDescent="0.3">
      <c r="A121" s="19">
        <f t="shared" si="50"/>
        <v>120</v>
      </c>
      <c r="B121" s="202" t="s">
        <v>559</v>
      </c>
      <c r="C121" s="222">
        <v>45826</v>
      </c>
      <c r="D121" s="227" t="s">
        <v>33</v>
      </c>
      <c r="E121" s="257" t="s">
        <v>373</v>
      </c>
      <c r="F121" s="171" t="s">
        <v>110</v>
      </c>
      <c r="G121" s="172">
        <v>37</v>
      </c>
      <c r="H121" s="8" t="s">
        <v>59</v>
      </c>
      <c r="I121" s="24" t="s">
        <v>376</v>
      </c>
      <c r="J121" s="45">
        <v>2096895</v>
      </c>
      <c r="K121" s="173">
        <f t="shared" si="44"/>
        <v>0</v>
      </c>
      <c r="L121" s="40">
        <f t="shared" si="45"/>
        <v>0</v>
      </c>
      <c r="M121" s="40">
        <f t="shared" si="46"/>
        <v>377441</v>
      </c>
      <c r="N121" s="41">
        <f t="shared" si="47"/>
        <v>2474336</v>
      </c>
      <c r="O121" s="21">
        <f>J121*0.25%</f>
        <v>5242.2375000000002</v>
      </c>
      <c r="P121" s="349">
        <f t="shared" si="64"/>
        <v>2.5000000000000001E-3</v>
      </c>
      <c r="Q121" s="23">
        <v>2469094.27</v>
      </c>
      <c r="R121" s="67">
        <v>45832</v>
      </c>
      <c r="S121" s="6" t="s">
        <v>74</v>
      </c>
      <c r="T121" s="10" t="s">
        <v>248</v>
      </c>
      <c r="U121" s="66"/>
      <c r="V121" s="8"/>
    </row>
    <row r="122" spans="1:22" ht="30" customHeight="1" x14ac:dyDescent="0.3">
      <c r="A122" s="19">
        <f t="shared" si="50"/>
        <v>121</v>
      </c>
      <c r="B122" s="202" t="s">
        <v>559</v>
      </c>
      <c r="C122" s="222">
        <v>45826</v>
      </c>
      <c r="D122" s="227" t="s">
        <v>33</v>
      </c>
      <c r="E122" s="257" t="s">
        <v>374</v>
      </c>
      <c r="F122" s="171" t="s">
        <v>110</v>
      </c>
      <c r="G122" s="172">
        <v>37</v>
      </c>
      <c r="H122" s="8" t="s">
        <v>59</v>
      </c>
      <c r="I122" s="24" t="s">
        <v>377</v>
      </c>
      <c r="J122" s="45">
        <v>316085</v>
      </c>
      <c r="K122" s="173">
        <f t="shared" si="44"/>
        <v>0</v>
      </c>
      <c r="L122" s="40">
        <f t="shared" si="45"/>
        <v>0</v>
      </c>
      <c r="M122" s="40">
        <f t="shared" si="46"/>
        <v>56895</v>
      </c>
      <c r="N122" s="41">
        <f t="shared" si="47"/>
        <v>372980</v>
      </c>
      <c r="O122" s="21">
        <f>J122*0.25%</f>
        <v>790.21249999999998</v>
      </c>
      <c r="P122" s="349">
        <f t="shared" si="64"/>
        <v>2.5000000000000001E-3</v>
      </c>
      <c r="Q122" s="23">
        <v>372190.39</v>
      </c>
      <c r="R122" s="67">
        <v>45832</v>
      </c>
      <c r="S122" s="6" t="s">
        <v>74</v>
      </c>
      <c r="T122" s="10" t="s">
        <v>248</v>
      </c>
      <c r="U122" s="66"/>
      <c r="V122" s="8"/>
    </row>
    <row r="123" spans="1:22" ht="30" customHeight="1" x14ac:dyDescent="0.3">
      <c r="A123" s="19">
        <f t="shared" si="50"/>
        <v>122</v>
      </c>
      <c r="B123" s="202" t="s">
        <v>559</v>
      </c>
      <c r="C123" s="46">
        <v>45811</v>
      </c>
      <c r="D123" s="164" t="s">
        <v>70</v>
      </c>
      <c r="E123" s="257" t="s">
        <v>306</v>
      </c>
      <c r="F123" s="164" t="s">
        <v>134</v>
      </c>
      <c r="G123" s="165">
        <v>10</v>
      </c>
      <c r="H123" s="8" t="s">
        <v>39</v>
      </c>
      <c r="I123" s="24" t="s">
        <v>308</v>
      </c>
      <c r="J123" s="45">
        <v>39001</v>
      </c>
      <c r="K123" s="166">
        <f t="shared" si="44"/>
        <v>0</v>
      </c>
      <c r="L123" s="40">
        <f t="shared" si="45"/>
        <v>0</v>
      </c>
      <c r="M123" s="40">
        <f t="shared" si="46"/>
        <v>7020</v>
      </c>
      <c r="N123" s="41">
        <f t="shared" si="47"/>
        <v>46021</v>
      </c>
      <c r="O123" s="21">
        <f>N123-Q123</f>
        <v>3901</v>
      </c>
      <c r="P123" s="349">
        <f t="shared" si="64"/>
        <v>0.10002307633137612</v>
      </c>
      <c r="Q123" s="23">
        <v>42120</v>
      </c>
      <c r="R123" s="5">
        <v>45834</v>
      </c>
      <c r="S123" s="6" t="s">
        <v>74</v>
      </c>
      <c r="T123" s="10" t="s">
        <v>136</v>
      </c>
      <c r="U123" s="66"/>
      <c r="V123" s="8"/>
    </row>
    <row r="124" spans="1:22" ht="30" customHeight="1" x14ac:dyDescent="0.3">
      <c r="A124" s="19">
        <f t="shared" si="50"/>
        <v>123</v>
      </c>
      <c r="B124" s="202" t="s">
        <v>559</v>
      </c>
      <c r="C124" s="46">
        <v>45811</v>
      </c>
      <c r="D124" s="164" t="s">
        <v>70</v>
      </c>
      <c r="E124" s="204" t="s">
        <v>307</v>
      </c>
      <c r="F124" s="164" t="s">
        <v>134</v>
      </c>
      <c r="G124" s="165">
        <v>10</v>
      </c>
      <c r="H124" s="8" t="s">
        <v>39</v>
      </c>
      <c r="I124" s="24" t="s">
        <v>308</v>
      </c>
      <c r="J124" s="45">
        <v>60709</v>
      </c>
      <c r="K124" s="166">
        <f t="shared" si="44"/>
        <v>0</v>
      </c>
      <c r="L124" s="40">
        <f t="shared" si="45"/>
        <v>0</v>
      </c>
      <c r="M124" s="40">
        <f t="shared" si="46"/>
        <v>10928</v>
      </c>
      <c r="N124" s="41">
        <f t="shared" si="47"/>
        <v>71637</v>
      </c>
      <c r="O124" s="21">
        <f>N124-Q124</f>
        <v>6071.3800000000047</v>
      </c>
      <c r="P124" s="349">
        <f t="shared" si="64"/>
        <v>0.10000790657068977</v>
      </c>
      <c r="Q124" s="23">
        <v>65565.62</v>
      </c>
      <c r="R124" s="5">
        <v>45834</v>
      </c>
      <c r="S124" s="6" t="s">
        <v>74</v>
      </c>
      <c r="T124" s="10" t="s">
        <v>136</v>
      </c>
      <c r="U124" s="66"/>
      <c r="V124" s="8"/>
    </row>
    <row r="125" spans="1:22" ht="30" customHeight="1" x14ac:dyDescent="0.3">
      <c r="A125" s="19">
        <f t="shared" si="50"/>
        <v>124</v>
      </c>
      <c r="B125" s="202" t="s">
        <v>559</v>
      </c>
      <c r="C125" s="46">
        <v>45819</v>
      </c>
      <c r="D125" s="167" t="s">
        <v>70</v>
      </c>
      <c r="E125" s="257" t="s">
        <v>359</v>
      </c>
      <c r="F125" s="167" t="s">
        <v>138</v>
      </c>
      <c r="G125" s="168">
        <v>36</v>
      </c>
      <c r="H125" s="8" t="s">
        <v>49</v>
      </c>
      <c r="I125" s="24" t="s">
        <v>364</v>
      </c>
      <c r="J125" s="45">
        <v>22858504</v>
      </c>
      <c r="K125" s="169">
        <f t="shared" si="44"/>
        <v>2057265</v>
      </c>
      <c r="L125" s="40">
        <f t="shared" si="45"/>
        <v>2057265</v>
      </c>
      <c r="M125" s="40">
        <f t="shared" si="46"/>
        <v>0</v>
      </c>
      <c r="N125" s="41">
        <f t="shared" si="47"/>
        <v>26973034</v>
      </c>
      <c r="O125" s="21">
        <f>J125*0.25%</f>
        <v>57146.26</v>
      </c>
      <c r="P125" s="349">
        <f t="shared" si="64"/>
        <v>2.5000000000000001E-3</v>
      </c>
      <c r="Q125" s="23">
        <f>N125-O125</f>
        <v>26915887.739999998</v>
      </c>
      <c r="R125" s="5">
        <v>45835</v>
      </c>
      <c r="S125" s="6" t="s">
        <v>74</v>
      </c>
      <c r="T125" s="10" t="s">
        <v>96</v>
      </c>
      <c r="U125" s="66"/>
      <c r="V125" s="8"/>
    </row>
    <row r="126" spans="1:22" ht="30" customHeight="1" x14ac:dyDescent="0.3">
      <c r="A126" s="19">
        <f t="shared" si="50"/>
        <v>125</v>
      </c>
      <c r="B126" s="202" t="s">
        <v>559</v>
      </c>
      <c r="C126" s="46">
        <v>45819</v>
      </c>
      <c r="D126" s="167" t="s">
        <v>70</v>
      </c>
      <c r="E126" s="219" t="s">
        <v>361</v>
      </c>
      <c r="F126" s="167" t="s">
        <v>138</v>
      </c>
      <c r="G126" s="168">
        <v>36</v>
      </c>
      <c r="H126" s="8" t="s">
        <v>49</v>
      </c>
      <c r="I126" s="24" t="s">
        <v>363</v>
      </c>
      <c r="J126" s="45">
        <v>1223246</v>
      </c>
      <c r="K126" s="169">
        <f t="shared" si="44"/>
        <v>110092</v>
      </c>
      <c r="L126" s="40">
        <f t="shared" si="45"/>
        <v>110092</v>
      </c>
      <c r="M126" s="40">
        <f t="shared" si="46"/>
        <v>0</v>
      </c>
      <c r="N126" s="41">
        <f t="shared" si="47"/>
        <v>1443430</v>
      </c>
      <c r="O126" s="21">
        <f>J126*0.25%</f>
        <v>3058.1150000000002</v>
      </c>
      <c r="P126" s="349">
        <f t="shared" si="64"/>
        <v>2.5000000000000001E-3</v>
      </c>
      <c r="Q126" s="23">
        <f>N126-O126</f>
        <v>1440371.885</v>
      </c>
      <c r="R126" s="5">
        <v>45835</v>
      </c>
      <c r="S126" s="6" t="s">
        <v>74</v>
      </c>
      <c r="T126" s="10" t="s">
        <v>96</v>
      </c>
      <c r="U126" s="66"/>
      <c r="V126" s="8"/>
    </row>
    <row r="127" spans="1:22" ht="30" customHeight="1" x14ac:dyDescent="0.3">
      <c r="A127" s="19">
        <f t="shared" si="50"/>
        <v>126</v>
      </c>
      <c r="B127" s="242" t="s">
        <v>560</v>
      </c>
      <c r="C127" s="46">
        <v>45833</v>
      </c>
      <c r="D127" s="146" t="s">
        <v>70</v>
      </c>
      <c r="E127" s="257" t="s">
        <v>383</v>
      </c>
      <c r="F127" s="146" t="s">
        <v>78</v>
      </c>
      <c r="G127" s="147">
        <v>36</v>
      </c>
      <c r="H127" s="8" t="s">
        <v>53</v>
      </c>
      <c r="I127" s="24" t="s">
        <v>384</v>
      </c>
      <c r="J127" s="45">
        <v>741263</v>
      </c>
      <c r="K127" s="148">
        <f>ROUND(IF(G127=36,J127*9%,0),0)</f>
        <v>66714</v>
      </c>
      <c r="L127" s="40">
        <f>ROUND(IF(G127=36,J127*9%,0),0)</f>
        <v>66714</v>
      </c>
      <c r="M127" s="40">
        <f>ROUND(IF(G127=36,J127*0%,J127*18%),0)</f>
        <v>0</v>
      </c>
      <c r="N127" s="41">
        <f>J127+K127+L127+M127</f>
        <v>874691</v>
      </c>
      <c r="O127" s="233">
        <f>J127*0.25%</f>
        <v>1853.1575</v>
      </c>
      <c r="P127" s="350">
        <f t="shared" si="64"/>
        <v>2.5000000000000001E-3</v>
      </c>
      <c r="Q127" s="23">
        <v>872837.34</v>
      </c>
      <c r="R127" s="67">
        <v>45839</v>
      </c>
      <c r="S127" s="6" t="s">
        <v>74</v>
      </c>
      <c r="T127" s="10" t="s">
        <v>251</v>
      </c>
      <c r="U127" s="66"/>
      <c r="V127" s="8"/>
    </row>
    <row r="128" spans="1:22" ht="30" customHeight="1" x14ac:dyDescent="0.3">
      <c r="A128" s="19">
        <f t="shared" si="50"/>
        <v>127</v>
      </c>
      <c r="B128" s="242" t="s">
        <v>560</v>
      </c>
      <c r="C128" s="46">
        <v>45811</v>
      </c>
      <c r="D128" s="46" t="s">
        <v>33</v>
      </c>
      <c r="E128" s="257" t="s">
        <v>309</v>
      </c>
      <c r="F128" s="42" t="s">
        <v>34</v>
      </c>
      <c r="G128" s="65">
        <v>36</v>
      </c>
      <c r="H128" s="8" t="s">
        <v>55</v>
      </c>
      <c r="I128" s="24" t="s">
        <v>311</v>
      </c>
      <c r="J128" s="45">
        <f>(72050*29)+(53350*1)+(99751*6)</f>
        <v>2741306</v>
      </c>
      <c r="K128" s="43">
        <f t="shared" ref="K128:K136" si="65">ROUND(IF(G128=36,J128*9%,0),0)</f>
        <v>246718</v>
      </c>
      <c r="L128" s="40">
        <f t="shared" ref="L128:L136" si="66">ROUND(IF(G128=36,J128*9%,0),0)</f>
        <v>246718</v>
      </c>
      <c r="M128" s="40">
        <f t="shared" ref="M128:M136" si="67">ROUND(IF(G128=36,J128*0%,J128*18%),0)</f>
        <v>0</v>
      </c>
      <c r="N128" s="41">
        <f t="shared" ref="N128:N136" si="68">J128+K128+L128+M128</f>
        <v>3234742</v>
      </c>
      <c r="O128" s="21">
        <f>N128-Q128</f>
        <v>6853.2650000001304</v>
      </c>
      <c r="P128" s="349">
        <f t="shared" ref="P128:P133" si="69">O128/J128</f>
        <v>2.5000000000000478E-3</v>
      </c>
      <c r="Q128" s="23">
        <f>N128-(J128*0.25%)</f>
        <v>3227888.7349999999</v>
      </c>
      <c r="R128" s="5">
        <v>45842</v>
      </c>
      <c r="S128" s="6" t="s">
        <v>74</v>
      </c>
      <c r="T128" s="10" t="s">
        <v>124</v>
      </c>
      <c r="U128" s="66"/>
      <c r="V128" s="8"/>
    </row>
    <row r="129" spans="1:22" ht="30" customHeight="1" x14ac:dyDescent="0.3">
      <c r="A129" s="19">
        <f t="shared" si="50"/>
        <v>128</v>
      </c>
      <c r="B129" s="242" t="s">
        <v>560</v>
      </c>
      <c r="C129" s="46">
        <v>45836</v>
      </c>
      <c r="D129" s="146" t="s">
        <v>70</v>
      </c>
      <c r="E129" s="257" t="s">
        <v>401</v>
      </c>
      <c r="F129" s="146" t="s">
        <v>94</v>
      </c>
      <c r="G129" s="147">
        <v>24</v>
      </c>
      <c r="H129" s="8" t="s">
        <v>50</v>
      </c>
      <c r="I129" s="24" t="s">
        <v>404</v>
      </c>
      <c r="J129" s="45">
        <v>719392</v>
      </c>
      <c r="K129" s="148">
        <f t="shared" si="65"/>
        <v>0</v>
      </c>
      <c r="L129" s="40">
        <f t="shared" si="66"/>
        <v>0</v>
      </c>
      <c r="M129" s="40">
        <f t="shared" si="67"/>
        <v>129491</v>
      </c>
      <c r="N129" s="41">
        <f t="shared" si="68"/>
        <v>848883</v>
      </c>
      <c r="O129" s="21">
        <f>J129*0.25%</f>
        <v>1798.48</v>
      </c>
      <c r="P129" s="349">
        <f>O129/J129</f>
        <v>2.5000000000000001E-3</v>
      </c>
      <c r="Q129" s="23">
        <f>717594.44+129490</f>
        <v>847084.44</v>
      </c>
      <c r="R129" s="246" t="s">
        <v>481</v>
      </c>
      <c r="S129" s="6" t="s">
        <v>74</v>
      </c>
      <c r="T129" s="10" t="s">
        <v>96</v>
      </c>
      <c r="U129" s="66">
        <f>ROUND(N129-O129-Q129,0)</f>
        <v>0</v>
      </c>
      <c r="V129" s="8" t="s">
        <v>483</v>
      </c>
    </row>
    <row r="130" spans="1:22" ht="30" customHeight="1" x14ac:dyDescent="0.3">
      <c r="A130" s="19">
        <f t="shared" si="50"/>
        <v>129</v>
      </c>
      <c r="B130" s="242" t="s">
        <v>560</v>
      </c>
      <c r="C130" s="46">
        <v>45836</v>
      </c>
      <c r="D130" s="146" t="s">
        <v>288</v>
      </c>
      <c r="E130" s="257" t="s">
        <v>414</v>
      </c>
      <c r="F130" s="146" t="s">
        <v>289</v>
      </c>
      <c r="G130" s="147">
        <v>36</v>
      </c>
      <c r="H130" s="8" t="s">
        <v>287</v>
      </c>
      <c r="I130" s="24" t="s">
        <v>418</v>
      </c>
      <c r="J130" s="162">
        <v>526282.30000000005</v>
      </c>
      <c r="K130" s="148">
        <f t="shared" si="65"/>
        <v>47365</v>
      </c>
      <c r="L130" s="40">
        <f t="shared" si="66"/>
        <v>47365</v>
      </c>
      <c r="M130" s="40">
        <f t="shared" si="67"/>
        <v>0</v>
      </c>
      <c r="N130" s="41">
        <f t="shared" si="68"/>
        <v>621012.30000000005</v>
      </c>
      <c r="O130" s="21">
        <f>N130-Q130</f>
        <v>10525.64599999995</v>
      </c>
      <c r="P130" s="349">
        <f t="shared" si="69"/>
        <v>1.9999999999999903E-2</v>
      </c>
      <c r="Q130" s="23">
        <f>N130-(J130*2%)</f>
        <v>610486.6540000001</v>
      </c>
      <c r="R130" s="67">
        <v>45842</v>
      </c>
      <c r="S130" s="6" t="s">
        <v>74</v>
      </c>
      <c r="T130" s="10" t="s">
        <v>322</v>
      </c>
      <c r="U130" s="66"/>
      <c r="V130" s="8"/>
    </row>
    <row r="131" spans="1:22" ht="30" customHeight="1" x14ac:dyDescent="0.3">
      <c r="A131" s="19">
        <f t="shared" si="50"/>
        <v>130</v>
      </c>
      <c r="B131" s="242" t="s">
        <v>560</v>
      </c>
      <c r="C131" s="46">
        <v>45836</v>
      </c>
      <c r="D131" s="146" t="s">
        <v>288</v>
      </c>
      <c r="E131" s="244" t="s">
        <v>415</v>
      </c>
      <c r="F131" s="146" t="s">
        <v>289</v>
      </c>
      <c r="G131" s="147">
        <v>36</v>
      </c>
      <c r="H131" s="8" t="s">
        <v>287</v>
      </c>
      <c r="I131" s="24" t="s">
        <v>419</v>
      </c>
      <c r="J131" s="162">
        <v>135611</v>
      </c>
      <c r="K131" s="148">
        <f t="shared" si="65"/>
        <v>12205</v>
      </c>
      <c r="L131" s="40">
        <f t="shared" si="66"/>
        <v>12205</v>
      </c>
      <c r="M131" s="40">
        <f t="shared" si="67"/>
        <v>0</v>
      </c>
      <c r="N131" s="41">
        <f t="shared" si="68"/>
        <v>160021</v>
      </c>
      <c r="O131" s="21">
        <f>N131-Q131</f>
        <v>2712.2200000000012</v>
      </c>
      <c r="P131" s="349">
        <f t="shared" si="69"/>
        <v>2.0000000000000007E-2</v>
      </c>
      <c r="Q131" s="23">
        <f>N131-(J131*2%)</f>
        <v>157308.78</v>
      </c>
      <c r="R131" s="67">
        <v>45842</v>
      </c>
      <c r="S131" s="6" t="s">
        <v>74</v>
      </c>
      <c r="T131" s="10" t="s">
        <v>322</v>
      </c>
      <c r="U131" s="66"/>
      <c r="V131" s="8"/>
    </row>
    <row r="132" spans="1:22" ht="30" customHeight="1" x14ac:dyDescent="0.3">
      <c r="A132" s="19">
        <f t="shared" si="50"/>
        <v>131</v>
      </c>
      <c r="B132" s="242" t="s">
        <v>560</v>
      </c>
      <c r="C132" s="46">
        <v>45836</v>
      </c>
      <c r="D132" s="146" t="s">
        <v>288</v>
      </c>
      <c r="E132" s="244" t="s">
        <v>416</v>
      </c>
      <c r="F132" s="146" t="s">
        <v>289</v>
      </c>
      <c r="G132" s="147">
        <v>36</v>
      </c>
      <c r="H132" s="8" t="s">
        <v>287</v>
      </c>
      <c r="I132" s="24" t="s">
        <v>418</v>
      </c>
      <c r="J132" s="162">
        <v>145313.74</v>
      </c>
      <c r="K132" s="148">
        <f t="shared" si="65"/>
        <v>13078</v>
      </c>
      <c r="L132" s="40">
        <f t="shared" si="66"/>
        <v>13078</v>
      </c>
      <c r="M132" s="40">
        <f t="shared" si="67"/>
        <v>0</v>
      </c>
      <c r="N132" s="41">
        <f t="shared" si="68"/>
        <v>171469.74</v>
      </c>
      <c r="O132" s="21">
        <f>N132-Q132</f>
        <v>2906.2748000000138</v>
      </c>
      <c r="P132" s="349">
        <f t="shared" si="69"/>
        <v>2.0000000000000098E-2</v>
      </c>
      <c r="Q132" s="23">
        <f>N132-(J132*2%)</f>
        <v>168563.46519999998</v>
      </c>
      <c r="R132" s="67">
        <v>45842</v>
      </c>
      <c r="S132" s="6" t="s">
        <v>74</v>
      </c>
      <c r="T132" s="10" t="s">
        <v>322</v>
      </c>
      <c r="U132" s="66"/>
      <c r="V132" s="8"/>
    </row>
    <row r="133" spans="1:22" ht="30" customHeight="1" x14ac:dyDescent="0.3">
      <c r="A133" s="19">
        <f t="shared" si="50"/>
        <v>132</v>
      </c>
      <c r="B133" s="242" t="s">
        <v>560</v>
      </c>
      <c r="C133" s="46">
        <v>45836</v>
      </c>
      <c r="D133" s="146" t="s">
        <v>288</v>
      </c>
      <c r="E133" s="244" t="s">
        <v>417</v>
      </c>
      <c r="F133" s="146" t="s">
        <v>289</v>
      </c>
      <c r="G133" s="147">
        <v>36</v>
      </c>
      <c r="H133" s="8" t="s">
        <v>287</v>
      </c>
      <c r="I133" s="24" t="s">
        <v>419</v>
      </c>
      <c r="J133" s="162">
        <v>60274</v>
      </c>
      <c r="K133" s="148">
        <f t="shared" si="65"/>
        <v>5425</v>
      </c>
      <c r="L133" s="40">
        <f t="shared" si="66"/>
        <v>5425</v>
      </c>
      <c r="M133" s="40">
        <f t="shared" si="67"/>
        <v>0</v>
      </c>
      <c r="N133" s="41">
        <f t="shared" si="68"/>
        <v>71124</v>
      </c>
      <c r="O133" s="21">
        <f>N133-Q133</f>
        <v>1205.4799999999959</v>
      </c>
      <c r="P133" s="349">
        <f t="shared" si="69"/>
        <v>1.9999999999999931E-2</v>
      </c>
      <c r="Q133" s="23">
        <f>N133-(J133*2%)</f>
        <v>69918.52</v>
      </c>
      <c r="R133" s="67">
        <v>45842</v>
      </c>
      <c r="S133" s="6" t="s">
        <v>74</v>
      </c>
      <c r="T133" s="10" t="s">
        <v>322</v>
      </c>
      <c r="U133" s="66"/>
      <c r="V133" s="8"/>
    </row>
    <row r="134" spans="1:22" ht="30" customHeight="1" x14ac:dyDescent="0.3">
      <c r="A134" s="19">
        <f t="shared" si="50"/>
        <v>133</v>
      </c>
      <c r="B134" s="242" t="s">
        <v>560</v>
      </c>
      <c r="C134" s="205">
        <v>45838</v>
      </c>
      <c r="D134" s="205" t="s">
        <v>70</v>
      </c>
      <c r="E134" s="257" t="s">
        <v>407</v>
      </c>
      <c r="F134" s="205" t="s">
        <v>94</v>
      </c>
      <c r="G134" s="206">
        <v>24</v>
      </c>
      <c r="H134" s="8" t="s">
        <v>50</v>
      </c>
      <c r="I134" s="24" t="s">
        <v>439</v>
      </c>
      <c r="J134" s="162">
        <v>13555704</v>
      </c>
      <c r="K134" s="41">
        <f t="shared" si="65"/>
        <v>0</v>
      </c>
      <c r="L134" s="201">
        <f t="shared" si="66"/>
        <v>0</v>
      </c>
      <c r="M134" s="40">
        <f t="shared" si="67"/>
        <v>2440027</v>
      </c>
      <c r="N134" s="41">
        <f t="shared" si="68"/>
        <v>15995731</v>
      </c>
      <c r="O134" s="21">
        <f t="shared" ref="O134:O143" si="70">J134*0.25%</f>
        <v>33889.26</v>
      </c>
      <c r="P134" s="349">
        <f>O134/J134</f>
        <v>2.5000000000000001E-3</v>
      </c>
      <c r="Q134" s="23">
        <f>13521815.1+2440027</f>
        <v>15961842.1</v>
      </c>
      <c r="R134" s="246" t="s">
        <v>482</v>
      </c>
      <c r="S134" s="6" t="s">
        <v>74</v>
      </c>
      <c r="T134" s="10" t="s">
        <v>96</v>
      </c>
      <c r="U134" s="66">
        <f>ROUND(N134-O134-Q134,0)</f>
        <v>0</v>
      </c>
      <c r="V134" s="8" t="s">
        <v>484</v>
      </c>
    </row>
    <row r="135" spans="1:22" ht="30" customHeight="1" x14ac:dyDescent="0.3">
      <c r="A135" s="19">
        <f t="shared" si="50"/>
        <v>134</v>
      </c>
      <c r="B135" s="242" t="s">
        <v>560</v>
      </c>
      <c r="C135" s="205">
        <v>45838</v>
      </c>
      <c r="D135" s="160" t="s">
        <v>70</v>
      </c>
      <c r="E135" s="244" t="s">
        <v>425</v>
      </c>
      <c r="F135" s="160" t="s">
        <v>94</v>
      </c>
      <c r="G135" s="161">
        <v>24</v>
      </c>
      <c r="H135" s="8" t="s">
        <v>50</v>
      </c>
      <c r="I135" s="24" t="s">
        <v>428</v>
      </c>
      <c r="J135" s="162">
        <v>2431254</v>
      </c>
      <c r="K135" s="148">
        <f t="shared" si="65"/>
        <v>0</v>
      </c>
      <c r="L135" s="40">
        <f t="shared" si="66"/>
        <v>0</v>
      </c>
      <c r="M135" s="40">
        <f t="shared" si="67"/>
        <v>437626</v>
      </c>
      <c r="N135" s="41">
        <f t="shared" si="68"/>
        <v>2868880</v>
      </c>
      <c r="O135" s="21">
        <f t="shared" si="70"/>
        <v>6078.1350000000002</v>
      </c>
      <c r="P135" s="349">
        <f>O135/J135</f>
        <v>2.5000000000000001E-3</v>
      </c>
      <c r="Q135" s="23">
        <f>2425176.28+437626</f>
        <v>2862802.28</v>
      </c>
      <c r="R135" s="246" t="s">
        <v>482</v>
      </c>
      <c r="S135" s="6" t="s">
        <v>74</v>
      </c>
      <c r="T135" s="10" t="s">
        <v>96</v>
      </c>
      <c r="U135" s="66">
        <f>ROUND(N135-O135-Q135,0)</f>
        <v>0</v>
      </c>
      <c r="V135" s="8" t="s">
        <v>485</v>
      </c>
    </row>
    <row r="136" spans="1:22" ht="30" customHeight="1" x14ac:dyDescent="0.3">
      <c r="A136" s="19">
        <f t="shared" si="50"/>
        <v>135</v>
      </c>
      <c r="B136" s="242" t="s">
        <v>560</v>
      </c>
      <c r="C136" s="205">
        <v>45838</v>
      </c>
      <c r="D136" s="205" t="s">
        <v>70</v>
      </c>
      <c r="E136" s="257" t="s">
        <v>437</v>
      </c>
      <c r="F136" s="205" t="s">
        <v>94</v>
      </c>
      <c r="G136" s="206">
        <v>24</v>
      </c>
      <c r="H136" s="8" t="s">
        <v>50</v>
      </c>
      <c r="I136" s="24" t="s">
        <v>440</v>
      </c>
      <c r="J136" s="162">
        <v>4151549</v>
      </c>
      <c r="K136" s="41">
        <f t="shared" si="65"/>
        <v>0</v>
      </c>
      <c r="L136" s="201">
        <f t="shared" si="66"/>
        <v>0</v>
      </c>
      <c r="M136" s="40">
        <f t="shared" si="67"/>
        <v>747279</v>
      </c>
      <c r="N136" s="41">
        <f t="shared" si="68"/>
        <v>4898828</v>
      </c>
      <c r="O136" s="21">
        <f t="shared" si="70"/>
        <v>10378.872499999999</v>
      </c>
      <c r="P136" s="349">
        <f>O136/J136</f>
        <v>2.5000000000000001E-3</v>
      </c>
      <c r="Q136" s="23">
        <f>4141171.38+747278</f>
        <v>4888449.38</v>
      </c>
      <c r="R136" s="246" t="s">
        <v>482</v>
      </c>
      <c r="S136" s="6" t="s">
        <v>74</v>
      </c>
      <c r="T136" s="10" t="s">
        <v>96</v>
      </c>
      <c r="U136" s="66">
        <f>ROUND(N136-O136-Q136,0)</f>
        <v>0</v>
      </c>
      <c r="V136" s="8" t="s">
        <v>486</v>
      </c>
    </row>
    <row r="137" spans="1:22" ht="30" customHeight="1" x14ac:dyDescent="0.3">
      <c r="A137" s="19">
        <f t="shared" si="50"/>
        <v>136</v>
      </c>
      <c r="B137" s="242" t="s">
        <v>560</v>
      </c>
      <c r="C137" s="46">
        <v>45836</v>
      </c>
      <c r="D137" s="146" t="s">
        <v>70</v>
      </c>
      <c r="E137" s="231" t="s">
        <v>402</v>
      </c>
      <c r="F137" s="146" t="s">
        <v>87</v>
      </c>
      <c r="G137" s="147">
        <v>24</v>
      </c>
      <c r="H137" s="8" t="s">
        <v>53</v>
      </c>
      <c r="I137" s="24" t="s">
        <v>403</v>
      </c>
      <c r="J137" s="45">
        <v>177391</v>
      </c>
      <c r="K137" s="148">
        <f t="shared" ref="K137:K139" si="71">ROUND(IF(G137=36,J137*9%,0),0)</f>
        <v>0</v>
      </c>
      <c r="L137" s="40">
        <f t="shared" ref="L137:L139" si="72">ROUND(IF(G137=36,J137*9%,0),0)</f>
        <v>0</v>
      </c>
      <c r="M137" s="40">
        <f t="shared" ref="M137:M139" si="73">ROUND(IF(G137=36,J137*0%,J137*18%),0)</f>
        <v>31930</v>
      </c>
      <c r="N137" s="41">
        <f t="shared" ref="N137:N139" si="74">J137+K137+L137+M137</f>
        <v>209321</v>
      </c>
      <c r="O137" s="233">
        <f t="shared" si="70"/>
        <v>443.47750000000002</v>
      </c>
      <c r="P137" s="350">
        <f t="shared" ref="P137:P139" si="75">O137/J137</f>
        <v>2.5000000000000001E-3</v>
      </c>
      <c r="Q137" s="23">
        <f>209834-956</f>
        <v>208878</v>
      </c>
      <c r="R137" s="67">
        <v>45843</v>
      </c>
      <c r="S137" s="6" t="s">
        <v>74</v>
      </c>
      <c r="T137" s="10" t="s">
        <v>80</v>
      </c>
      <c r="U137" s="66"/>
      <c r="V137" s="8"/>
    </row>
    <row r="138" spans="1:22" ht="30" customHeight="1" x14ac:dyDescent="0.3">
      <c r="A138" s="19">
        <f t="shared" si="50"/>
        <v>137</v>
      </c>
      <c r="B138" s="242" t="s">
        <v>560</v>
      </c>
      <c r="C138" s="46">
        <v>45836</v>
      </c>
      <c r="D138" s="146" t="s">
        <v>70</v>
      </c>
      <c r="E138" s="231" t="s">
        <v>420</v>
      </c>
      <c r="F138" s="146" t="s">
        <v>87</v>
      </c>
      <c r="G138" s="147">
        <v>24</v>
      </c>
      <c r="H138" s="8" t="s">
        <v>53</v>
      </c>
      <c r="I138" s="24" t="s">
        <v>421</v>
      </c>
      <c r="J138" s="45">
        <v>812</v>
      </c>
      <c r="K138" s="148">
        <f t="shared" si="71"/>
        <v>0</v>
      </c>
      <c r="L138" s="40">
        <f t="shared" si="72"/>
        <v>0</v>
      </c>
      <c r="M138" s="40">
        <f t="shared" si="73"/>
        <v>146</v>
      </c>
      <c r="N138" s="41">
        <f t="shared" si="74"/>
        <v>958</v>
      </c>
      <c r="O138" s="233">
        <f t="shared" si="70"/>
        <v>2.0300000000000002</v>
      </c>
      <c r="P138" s="350">
        <f t="shared" si="75"/>
        <v>2.5000000000000005E-3</v>
      </c>
      <c r="Q138" s="23">
        <f>N138-J138*0.25%</f>
        <v>955.97</v>
      </c>
      <c r="R138" s="67">
        <v>45843</v>
      </c>
      <c r="S138" s="6" t="s">
        <v>74</v>
      </c>
      <c r="T138" s="10" t="s">
        <v>80</v>
      </c>
      <c r="U138" s="66">
        <f t="shared" ref="U138:U143" si="76">N138-O138-Q138</f>
        <v>0</v>
      </c>
      <c r="V138" s="8"/>
    </row>
    <row r="139" spans="1:22" ht="30" customHeight="1" x14ac:dyDescent="0.3">
      <c r="A139" s="19">
        <f t="shared" si="50"/>
        <v>138</v>
      </c>
      <c r="B139" s="242" t="s">
        <v>560</v>
      </c>
      <c r="C139" s="205">
        <v>45838</v>
      </c>
      <c r="D139" s="205" t="s">
        <v>70</v>
      </c>
      <c r="E139" s="257" t="s">
        <v>406</v>
      </c>
      <c r="F139" s="205" t="s">
        <v>87</v>
      </c>
      <c r="G139" s="206">
        <v>24</v>
      </c>
      <c r="H139" s="8" t="s">
        <v>53</v>
      </c>
      <c r="I139" s="24" t="s">
        <v>442</v>
      </c>
      <c r="J139" s="162">
        <v>17571049</v>
      </c>
      <c r="K139" s="41">
        <f t="shared" si="71"/>
        <v>0</v>
      </c>
      <c r="L139" s="201">
        <f t="shared" si="72"/>
        <v>0</v>
      </c>
      <c r="M139" s="40">
        <f t="shared" si="73"/>
        <v>3162789</v>
      </c>
      <c r="N139" s="41">
        <f t="shared" si="74"/>
        <v>20733838</v>
      </c>
      <c r="O139" s="21">
        <f t="shared" si="70"/>
        <v>43927.622499999998</v>
      </c>
      <c r="P139" s="350">
        <f t="shared" si="75"/>
        <v>2.5000000000000001E-3</v>
      </c>
      <c r="Q139" s="23">
        <f>17527121.15+3162789</f>
        <v>20689910.149999999</v>
      </c>
      <c r="R139" s="246" t="s">
        <v>482</v>
      </c>
      <c r="S139" s="6" t="s">
        <v>74</v>
      </c>
      <c r="T139" s="10" t="s">
        <v>80</v>
      </c>
      <c r="U139" s="66">
        <f t="shared" si="76"/>
        <v>0.22750000283122063</v>
      </c>
      <c r="V139" s="8" t="s">
        <v>492</v>
      </c>
    </row>
    <row r="140" spans="1:22" ht="30" customHeight="1" x14ac:dyDescent="0.3">
      <c r="A140" s="19">
        <f t="shared" si="50"/>
        <v>139</v>
      </c>
      <c r="B140" s="242" t="s">
        <v>560</v>
      </c>
      <c r="C140" s="205">
        <v>45838</v>
      </c>
      <c r="D140" s="205" t="s">
        <v>70</v>
      </c>
      <c r="E140" s="257" t="s">
        <v>449</v>
      </c>
      <c r="F140" s="205" t="s">
        <v>87</v>
      </c>
      <c r="G140" s="206">
        <v>24</v>
      </c>
      <c r="H140" s="8" t="s">
        <v>53</v>
      </c>
      <c r="I140" s="24" t="s">
        <v>451</v>
      </c>
      <c r="J140" s="162">
        <v>4887331</v>
      </c>
      <c r="K140" s="41">
        <f>ROUND(IF(G140=36,J140*9%,0),0)</f>
        <v>0</v>
      </c>
      <c r="L140" s="201">
        <f>ROUND(IF(G140=36,J140*9%,0),0)</f>
        <v>0</v>
      </c>
      <c r="M140" s="40">
        <f>ROUND(IF(G140=36,J140*0%,J140*18%),0)</f>
        <v>879720</v>
      </c>
      <c r="N140" s="41">
        <f>J140+K140+L140+M140</f>
        <v>5767051</v>
      </c>
      <c r="O140" s="21">
        <f t="shared" si="70"/>
        <v>12218.327499999999</v>
      </c>
      <c r="P140" s="349">
        <f>O140/J140</f>
        <v>2.5000000000000001E-3</v>
      </c>
      <c r="Q140" s="23">
        <f>4875113.36+879719</f>
        <v>5754832.3600000003</v>
      </c>
      <c r="R140" s="246" t="s">
        <v>482</v>
      </c>
      <c r="S140" s="6" t="s">
        <v>74</v>
      </c>
      <c r="T140" s="10" t="s">
        <v>80</v>
      </c>
      <c r="U140" s="66">
        <f t="shared" si="76"/>
        <v>0.3125</v>
      </c>
      <c r="V140" s="8" t="s">
        <v>496</v>
      </c>
    </row>
    <row r="141" spans="1:22" ht="30" customHeight="1" x14ac:dyDescent="0.3">
      <c r="A141" s="19">
        <f t="shared" si="50"/>
        <v>140</v>
      </c>
      <c r="B141" s="242" t="s">
        <v>560</v>
      </c>
      <c r="C141" s="46">
        <v>45836</v>
      </c>
      <c r="D141" s="146" t="s">
        <v>70</v>
      </c>
      <c r="E141" s="231" t="s">
        <v>400</v>
      </c>
      <c r="F141" s="146" t="s">
        <v>87</v>
      </c>
      <c r="G141" s="147">
        <v>24</v>
      </c>
      <c r="H141" s="8" t="s">
        <v>53</v>
      </c>
      <c r="I141" s="24" t="s">
        <v>405</v>
      </c>
      <c r="J141" s="45">
        <v>1138259</v>
      </c>
      <c r="K141" s="148">
        <f t="shared" ref="K141:K142" si="77">ROUND(IF(G141=36,J141*9%,0),0)</f>
        <v>0</v>
      </c>
      <c r="L141" s="40">
        <f t="shared" ref="L141:L142" si="78">ROUND(IF(G141=36,J141*9%,0),0)</f>
        <v>0</v>
      </c>
      <c r="M141" s="40">
        <f t="shared" ref="M141:M142" si="79">ROUND(IF(G141=36,J141*0%,J141*18%),0)</f>
        <v>204887</v>
      </c>
      <c r="N141" s="41">
        <f t="shared" ref="N141:N142" si="80">J141+K141+L141+M141</f>
        <v>1343146</v>
      </c>
      <c r="O141" s="247">
        <f t="shared" si="70"/>
        <v>2845.6475</v>
      </c>
      <c r="P141" s="351">
        <f t="shared" ref="P141:P144" si="81">O141/J141</f>
        <v>2.5000000000000001E-3</v>
      </c>
      <c r="Q141" s="248">
        <f>N141-O141-M141+204887</f>
        <v>1340300.3525</v>
      </c>
      <c r="R141" s="251" t="s">
        <v>490</v>
      </c>
      <c r="S141" s="249" t="s">
        <v>74</v>
      </c>
      <c r="T141" s="250" t="s">
        <v>80</v>
      </c>
      <c r="U141" s="66">
        <f t="shared" si="76"/>
        <v>0</v>
      </c>
      <c r="V141" s="8" t="s">
        <v>493</v>
      </c>
    </row>
    <row r="142" spans="1:22" ht="30" customHeight="1" x14ac:dyDescent="0.3">
      <c r="A142" s="19">
        <f t="shared" si="50"/>
        <v>141</v>
      </c>
      <c r="B142" s="242" t="s">
        <v>560</v>
      </c>
      <c r="C142" s="205">
        <v>45838</v>
      </c>
      <c r="D142" s="205" t="s">
        <v>70</v>
      </c>
      <c r="E142" s="244" t="s">
        <v>412</v>
      </c>
      <c r="F142" s="205" t="s">
        <v>87</v>
      </c>
      <c r="G142" s="206">
        <v>24</v>
      </c>
      <c r="H142" s="8" t="s">
        <v>53</v>
      </c>
      <c r="I142" s="24" t="s">
        <v>422</v>
      </c>
      <c r="J142" s="162">
        <v>91731</v>
      </c>
      <c r="K142" s="41">
        <f t="shared" si="77"/>
        <v>0</v>
      </c>
      <c r="L142" s="201">
        <f t="shared" si="78"/>
        <v>0</v>
      </c>
      <c r="M142" s="40">
        <f t="shared" si="79"/>
        <v>16512</v>
      </c>
      <c r="N142" s="41">
        <f t="shared" si="80"/>
        <v>108243</v>
      </c>
      <c r="O142" s="247">
        <f t="shared" si="70"/>
        <v>229.32750000000001</v>
      </c>
      <c r="P142" s="351">
        <f t="shared" si="81"/>
        <v>2.5000000000000001E-3</v>
      </c>
      <c r="Q142" s="248">
        <f>N142-O142-M142+16512</f>
        <v>108013.6725</v>
      </c>
      <c r="R142" s="251" t="s">
        <v>490</v>
      </c>
      <c r="S142" s="249" t="s">
        <v>74</v>
      </c>
      <c r="T142" s="250" t="s">
        <v>80</v>
      </c>
      <c r="U142" s="66">
        <f t="shared" si="76"/>
        <v>0</v>
      </c>
      <c r="V142" s="8" t="s">
        <v>491</v>
      </c>
    </row>
    <row r="143" spans="1:22" ht="30" customHeight="1" x14ac:dyDescent="0.3">
      <c r="A143" s="19">
        <f t="shared" si="50"/>
        <v>142</v>
      </c>
      <c r="B143" s="242" t="s">
        <v>560</v>
      </c>
      <c r="C143" s="205">
        <v>45838</v>
      </c>
      <c r="D143" s="205" t="s">
        <v>70</v>
      </c>
      <c r="E143" s="244" t="s">
        <v>448</v>
      </c>
      <c r="F143" s="205" t="s">
        <v>87</v>
      </c>
      <c r="G143" s="206">
        <v>24</v>
      </c>
      <c r="H143" s="8" t="s">
        <v>53</v>
      </c>
      <c r="I143" s="24" t="s">
        <v>450</v>
      </c>
      <c r="J143" s="162">
        <v>532123</v>
      </c>
      <c r="K143" s="41">
        <f>ROUND(IF(G143=36,J143*9%,0),0)</f>
        <v>0</v>
      </c>
      <c r="L143" s="201">
        <f>ROUND(IF(G143=36,J143*9%,0),0)</f>
        <v>0</v>
      </c>
      <c r="M143" s="40">
        <f>ROUND(IF(G143=36,J143*0%,J143*18%),0)</f>
        <v>95782</v>
      </c>
      <c r="N143" s="41">
        <f>J143+K143+L143+M143</f>
        <v>627905</v>
      </c>
      <c r="O143" s="247">
        <f t="shared" si="70"/>
        <v>1330.3075000000001</v>
      </c>
      <c r="P143" s="351">
        <f t="shared" si="81"/>
        <v>2.5000000000000001E-3</v>
      </c>
      <c r="Q143" s="248">
        <f>N143-O143-M143+95782</f>
        <v>626574.6925</v>
      </c>
      <c r="R143" s="251" t="s">
        <v>490</v>
      </c>
      <c r="S143" s="249" t="s">
        <v>74</v>
      </c>
      <c r="T143" s="250" t="s">
        <v>80</v>
      </c>
      <c r="U143" s="66">
        <f t="shared" si="76"/>
        <v>0</v>
      </c>
      <c r="V143" s="8" t="s">
        <v>495</v>
      </c>
    </row>
    <row r="144" spans="1:22" ht="30" customHeight="1" x14ac:dyDescent="0.3">
      <c r="A144" s="19">
        <f t="shared" si="50"/>
        <v>143</v>
      </c>
      <c r="B144" s="242" t="s">
        <v>560</v>
      </c>
      <c r="C144" s="205">
        <v>45838</v>
      </c>
      <c r="D144" s="160" t="s">
        <v>70</v>
      </c>
      <c r="E144" s="269" t="s">
        <v>426</v>
      </c>
      <c r="F144" s="160" t="s">
        <v>105</v>
      </c>
      <c r="G144" s="161">
        <v>24</v>
      </c>
      <c r="H144" s="8" t="s">
        <v>60</v>
      </c>
      <c r="I144" s="24" t="s">
        <v>427</v>
      </c>
      <c r="J144" s="162">
        <v>372958</v>
      </c>
      <c r="K144" s="148">
        <f t="shared" ref="K144" si="82">ROUND(IF(G144=36,J144*9%,0),0)</f>
        <v>0</v>
      </c>
      <c r="L144" s="40">
        <f t="shared" ref="L144" si="83">ROUND(IF(G144=36,J144*9%,0),0)</f>
        <v>0</v>
      </c>
      <c r="M144" s="40">
        <f t="shared" ref="M144" si="84">ROUND(IF(G144=36,J144*0%,J144*18%),0)</f>
        <v>67132</v>
      </c>
      <c r="N144" s="41">
        <f t="shared" ref="N144" si="85">J144+K144+L144+M144</f>
        <v>440090</v>
      </c>
      <c r="O144" s="21">
        <f>J144*0.25%</f>
        <v>932.39499999999998</v>
      </c>
      <c r="P144" s="349">
        <f t="shared" si="81"/>
        <v>2.5000000000000001E-3</v>
      </c>
      <c r="Q144" s="23">
        <f>372026+67132</f>
        <v>439158</v>
      </c>
      <c r="R144" s="275" t="s">
        <v>543</v>
      </c>
      <c r="S144" s="6" t="s">
        <v>74</v>
      </c>
      <c r="T144" s="10" t="s">
        <v>96</v>
      </c>
      <c r="U144" s="66">
        <f>ROUND(N144-O144-Q144,0)</f>
        <v>0</v>
      </c>
      <c r="V144" s="8" t="s">
        <v>540</v>
      </c>
    </row>
    <row r="145" spans="1:22" ht="30" customHeight="1" x14ac:dyDescent="0.3">
      <c r="A145" s="19">
        <f t="shared" si="50"/>
        <v>144</v>
      </c>
      <c r="B145" s="242" t="s">
        <v>560</v>
      </c>
      <c r="C145" s="46">
        <v>45843</v>
      </c>
      <c r="D145" s="75" t="s">
        <v>70</v>
      </c>
      <c r="E145" s="257" t="s">
        <v>466</v>
      </c>
      <c r="F145" s="110" t="s">
        <v>126</v>
      </c>
      <c r="G145" s="65">
        <v>24</v>
      </c>
      <c r="H145" s="8" t="s">
        <v>125</v>
      </c>
      <c r="I145" s="24" t="s">
        <v>467</v>
      </c>
      <c r="J145" s="45">
        <v>9084178.666666666</v>
      </c>
      <c r="K145" s="43">
        <f t="shared" ref="K145:K154" si="86">ROUND(IF(G145=36,J145*9%,0),0)</f>
        <v>0</v>
      </c>
      <c r="L145" s="40">
        <f t="shared" ref="L145:L154" si="87">ROUND(IF(G145=36,J145*9%,0),0)</f>
        <v>0</v>
      </c>
      <c r="M145" s="40">
        <f t="shared" ref="M145:M154" si="88">ROUND(IF(G145=36,J145*0%,J145*18%),0)</f>
        <v>1635152</v>
      </c>
      <c r="N145" s="41">
        <f t="shared" ref="N145:N154" si="89">J145+K145+L145+M145</f>
        <v>10719330.666666666</v>
      </c>
      <c r="O145" s="21">
        <f>N145-Q145</f>
        <v>22709.836666665971</v>
      </c>
      <c r="P145" s="349">
        <f t="shared" ref="P145:P151" si="90">O145/J145</f>
        <v>2.4999328502858568E-3</v>
      </c>
      <c r="Q145" s="23">
        <f>10696620.83</f>
        <v>10696620.83</v>
      </c>
      <c r="R145" s="67">
        <v>45847</v>
      </c>
      <c r="S145" s="6" t="s">
        <v>74</v>
      </c>
      <c r="T145" s="10" t="s">
        <v>136</v>
      </c>
      <c r="U145" s="66"/>
      <c r="V145" s="8"/>
    </row>
    <row r="146" spans="1:22" ht="30" customHeight="1" x14ac:dyDescent="0.3">
      <c r="A146" s="19">
        <f t="shared" si="50"/>
        <v>145</v>
      </c>
      <c r="B146" s="242" t="s">
        <v>560</v>
      </c>
      <c r="C146" s="46">
        <v>45845</v>
      </c>
      <c r="D146" s="146" t="s">
        <v>70</v>
      </c>
      <c r="E146" s="257" t="s">
        <v>460</v>
      </c>
      <c r="F146" s="146" t="s">
        <v>99</v>
      </c>
      <c r="G146" s="147">
        <v>27</v>
      </c>
      <c r="H146" s="8" t="s">
        <v>62</v>
      </c>
      <c r="I146" s="24" t="s">
        <v>464</v>
      </c>
      <c r="J146" s="162">
        <v>71431</v>
      </c>
      <c r="K146" s="148">
        <f t="shared" si="86"/>
        <v>0</v>
      </c>
      <c r="L146" s="40">
        <f t="shared" si="87"/>
        <v>0</v>
      </c>
      <c r="M146" s="40">
        <f t="shared" si="88"/>
        <v>12858</v>
      </c>
      <c r="N146" s="41">
        <f t="shared" si="89"/>
        <v>84289</v>
      </c>
      <c r="O146" s="21">
        <f>N146-Q146</f>
        <v>179.41999999999825</v>
      </c>
      <c r="P146" s="349">
        <f t="shared" si="90"/>
        <v>2.51179459898361E-3</v>
      </c>
      <c r="Q146" s="23">
        <f>84109.58</f>
        <v>84109.58</v>
      </c>
      <c r="R146" s="67">
        <v>45847</v>
      </c>
      <c r="S146" s="6" t="s">
        <v>74</v>
      </c>
      <c r="T146" s="10" t="s">
        <v>248</v>
      </c>
      <c r="U146" s="66"/>
      <c r="V146" s="8"/>
    </row>
    <row r="147" spans="1:22" ht="30" customHeight="1" x14ac:dyDescent="0.3">
      <c r="A147" s="19">
        <f t="shared" si="50"/>
        <v>146</v>
      </c>
      <c r="B147" s="242" t="s">
        <v>560</v>
      </c>
      <c r="C147" s="46">
        <v>45845</v>
      </c>
      <c r="D147" s="146" t="s">
        <v>70</v>
      </c>
      <c r="E147" s="257" t="s">
        <v>461</v>
      </c>
      <c r="F147" s="146" t="s">
        <v>99</v>
      </c>
      <c r="G147" s="147">
        <v>27</v>
      </c>
      <c r="H147" s="8" t="s">
        <v>62</v>
      </c>
      <c r="I147" s="24" t="s">
        <v>465</v>
      </c>
      <c r="J147" s="162">
        <v>48520</v>
      </c>
      <c r="K147" s="148">
        <f t="shared" si="86"/>
        <v>0</v>
      </c>
      <c r="L147" s="40">
        <f t="shared" si="87"/>
        <v>0</v>
      </c>
      <c r="M147" s="40">
        <f t="shared" si="88"/>
        <v>8734</v>
      </c>
      <c r="N147" s="41">
        <f t="shared" si="89"/>
        <v>57254</v>
      </c>
      <c r="O147" s="21">
        <f>N147-Q147</f>
        <v>121.52999999999884</v>
      </c>
      <c r="P147" s="349">
        <f t="shared" si="90"/>
        <v>2.5047403132728531E-3</v>
      </c>
      <c r="Q147" s="23">
        <v>57132.47</v>
      </c>
      <c r="R147" s="67">
        <v>45847</v>
      </c>
      <c r="S147" s="6" t="s">
        <v>74</v>
      </c>
      <c r="T147" s="10" t="s">
        <v>248</v>
      </c>
      <c r="U147" s="66"/>
      <c r="V147" s="8"/>
    </row>
    <row r="148" spans="1:22" ht="30" customHeight="1" x14ac:dyDescent="0.3">
      <c r="A148" s="19">
        <f t="shared" si="50"/>
        <v>147</v>
      </c>
      <c r="B148" s="242" t="s">
        <v>560</v>
      </c>
      <c r="C148" s="46">
        <v>45845</v>
      </c>
      <c r="D148" s="146" t="s">
        <v>70</v>
      </c>
      <c r="E148" s="257" t="s">
        <v>457</v>
      </c>
      <c r="F148" s="146" t="s">
        <v>110</v>
      </c>
      <c r="G148" s="147">
        <v>37</v>
      </c>
      <c r="H148" s="8" t="s">
        <v>59</v>
      </c>
      <c r="I148" s="24" t="s">
        <v>468</v>
      </c>
      <c r="J148" s="162">
        <v>1000456</v>
      </c>
      <c r="K148" s="148">
        <f t="shared" si="86"/>
        <v>0</v>
      </c>
      <c r="L148" s="40">
        <f t="shared" si="87"/>
        <v>0</v>
      </c>
      <c r="M148" s="40">
        <f t="shared" si="88"/>
        <v>180082</v>
      </c>
      <c r="N148" s="41">
        <f t="shared" si="89"/>
        <v>1180538</v>
      </c>
      <c r="O148" s="21">
        <f>J148*0.25%</f>
        <v>2501.14</v>
      </c>
      <c r="P148" s="349">
        <f t="shared" si="90"/>
        <v>2.5000000000000001E-3</v>
      </c>
      <c r="Q148" s="23">
        <f>N148-O148</f>
        <v>1178036.8600000001</v>
      </c>
      <c r="R148" s="67">
        <v>45848</v>
      </c>
      <c r="S148" s="6" t="s">
        <v>74</v>
      </c>
      <c r="T148" s="10" t="s">
        <v>248</v>
      </c>
      <c r="U148" s="66"/>
      <c r="V148" s="8"/>
    </row>
    <row r="149" spans="1:22" ht="30" customHeight="1" x14ac:dyDescent="0.3">
      <c r="A149" s="19">
        <f t="shared" si="50"/>
        <v>148</v>
      </c>
      <c r="B149" s="242" t="s">
        <v>560</v>
      </c>
      <c r="C149" s="46">
        <v>45845</v>
      </c>
      <c r="D149" s="146" t="s">
        <v>70</v>
      </c>
      <c r="E149" s="245" t="s">
        <v>458</v>
      </c>
      <c r="F149" s="146" t="s">
        <v>110</v>
      </c>
      <c r="G149" s="147">
        <v>37</v>
      </c>
      <c r="H149" s="8" t="s">
        <v>59</v>
      </c>
      <c r="I149" s="24" t="s">
        <v>463</v>
      </c>
      <c r="J149" s="162">
        <v>1188324</v>
      </c>
      <c r="K149" s="148">
        <f t="shared" si="86"/>
        <v>0</v>
      </c>
      <c r="L149" s="40">
        <f t="shared" si="87"/>
        <v>0</v>
      </c>
      <c r="M149" s="40">
        <f t="shared" si="88"/>
        <v>213898</v>
      </c>
      <c r="N149" s="41">
        <f t="shared" si="89"/>
        <v>1402222</v>
      </c>
      <c r="O149" s="21">
        <f>J149*0.25%</f>
        <v>2970.81</v>
      </c>
      <c r="P149" s="349">
        <f t="shared" si="90"/>
        <v>2.5000000000000001E-3</v>
      </c>
      <c r="Q149" s="23">
        <f>N149-O149</f>
        <v>1399251.19</v>
      </c>
      <c r="R149" s="67">
        <v>45848</v>
      </c>
      <c r="S149" s="6" t="s">
        <v>74</v>
      </c>
      <c r="T149" s="10" t="s">
        <v>248</v>
      </c>
      <c r="U149" s="66"/>
      <c r="V149" s="8"/>
    </row>
    <row r="150" spans="1:22" ht="30" customHeight="1" x14ac:dyDescent="0.3">
      <c r="A150" s="19">
        <f t="shared" ref="A150:A213" si="91">A149+1</f>
        <v>149</v>
      </c>
      <c r="B150" s="242" t="s">
        <v>560</v>
      </c>
      <c r="C150" s="46">
        <v>45845</v>
      </c>
      <c r="D150" s="146" t="s">
        <v>70</v>
      </c>
      <c r="E150" s="245" t="s">
        <v>459</v>
      </c>
      <c r="F150" s="146" t="s">
        <v>110</v>
      </c>
      <c r="G150" s="147">
        <v>37</v>
      </c>
      <c r="H150" s="8" t="s">
        <v>59</v>
      </c>
      <c r="I150" s="24" t="s">
        <v>469</v>
      </c>
      <c r="J150" s="162">
        <v>1466084</v>
      </c>
      <c r="K150" s="148">
        <f t="shared" si="86"/>
        <v>0</v>
      </c>
      <c r="L150" s="40">
        <f t="shared" si="87"/>
        <v>0</v>
      </c>
      <c r="M150" s="40">
        <f t="shared" si="88"/>
        <v>263895</v>
      </c>
      <c r="N150" s="41">
        <f t="shared" si="89"/>
        <v>1729979</v>
      </c>
      <c r="O150" s="21">
        <f>J150*0.25%</f>
        <v>3665.21</v>
      </c>
      <c r="P150" s="349">
        <f t="shared" si="90"/>
        <v>2.5000000000000001E-3</v>
      </c>
      <c r="Q150" s="23">
        <f>N150-O150</f>
        <v>1726313.79</v>
      </c>
      <c r="R150" s="67">
        <v>45848</v>
      </c>
      <c r="S150" s="6" t="s">
        <v>74</v>
      </c>
      <c r="T150" s="10" t="s">
        <v>248</v>
      </c>
      <c r="U150" s="66"/>
      <c r="V150" s="8"/>
    </row>
    <row r="151" spans="1:22" ht="30" customHeight="1" x14ac:dyDescent="0.3">
      <c r="A151" s="19">
        <f t="shared" si="91"/>
        <v>150</v>
      </c>
      <c r="B151" s="242" t="s">
        <v>560</v>
      </c>
      <c r="C151" s="46">
        <v>45845</v>
      </c>
      <c r="D151" s="146" t="s">
        <v>70</v>
      </c>
      <c r="E151" s="257" t="s">
        <v>456</v>
      </c>
      <c r="F151" s="146" t="s">
        <v>72</v>
      </c>
      <c r="G151" s="147">
        <v>24</v>
      </c>
      <c r="H151" s="8" t="s">
        <v>61</v>
      </c>
      <c r="I151" s="24" t="s">
        <v>462</v>
      </c>
      <c r="J151" s="162">
        <v>962943</v>
      </c>
      <c r="K151" s="148">
        <f t="shared" si="86"/>
        <v>0</v>
      </c>
      <c r="L151" s="40">
        <f t="shared" si="87"/>
        <v>0</v>
      </c>
      <c r="M151" s="40">
        <f t="shared" si="88"/>
        <v>173330</v>
      </c>
      <c r="N151" s="41">
        <f t="shared" si="89"/>
        <v>1136273</v>
      </c>
      <c r="O151" s="21">
        <f>J151*2%</f>
        <v>19258.86</v>
      </c>
      <c r="P151" s="349">
        <f t="shared" si="90"/>
        <v>0.02</v>
      </c>
      <c r="Q151" s="23">
        <f>N151-O151</f>
        <v>1117014.1399999999</v>
      </c>
      <c r="R151" s="67">
        <v>45848</v>
      </c>
      <c r="S151" s="6" t="s">
        <v>74</v>
      </c>
      <c r="T151" s="10" t="s">
        <v>248</v>
      </c>
      <c r="U151" s="66"/>
      <c r="V151" s="8"/>
    </row>
    <row r="152" spans="1:22" ht="30" customHeight="1" x14ac:dyDescent="0.3">
      <c r="A152" s="19">
        <f t="shared" si="91"/>
        <v>151</v>
      </c>
      <c r="B152" s="242" t="s">
        <v>560</v>
      </c>
      <c r="C152" s="46">
        <v>45838</v>
      </c>
      <c r="D152" s="146" t="s">
        <v>70</v>
      </c>
      <c r="E152" s="262" t="s">
        <v>432</v>
      </c>
      <c r="F152" s="146" t="s">
        <v>72</v>
      </c>
      <c r="G152" s="147">
        <v>24</v>
      </c>
      <c r="H152" s="8" t="s">
        <v>61</v>
      </c>
      <c r="I152" s="24" t="s">
        <v>433</v>
      </c>
      <c r="J152" s="45">
        <v>286603</v>
      </c>
      <c r="K152" s="148">
        <f t="shared" si="86"/>
        <v>0</v>
      </c>
      <c r="L152" s="40">
        <f t="shared" si="87"/>
        <v>0</v>
      </c>
      <c r="M152" s="40">
        <f t="shared" si="88"/>
        <v>51589</v>
      </c>
      <c r="N152" s="41">
        <f t="shared" si="89"/>
        <v>338192</v>
      </c>
      <c r="O152" s="21">
        <f>J152*2%</f>
        <v>5732.06</v>
      </c>
      <c r="P152" s="349">
        <f>O152/J152</f>
        <v>0.02</v>
      </c>
      <c r="Q152" s="23">
        <f>280871.4+51588.61</f>
        <v>332460.01</v>
      </c>
      <c r="R152" s="259" t="s">
        <v>524</v>
      </c>
      <c r="S152" s="6" t="s">
        <v>74</v>
      </c>
      <c r="T152" s="10" t="s">
        <v>75</v>
      </c>
      <c r="U152" s="66">
        <f>ROUND(N152-O152-Q152,0)</f>
        <v>0</v>
      </c>
      <c r="V152" s="8" t="s">
        <v>523</v>
      </c>
    </row>
    <row r="153" spans="1:22" ht="30" customHeight="1" x14ac:dyDescent="0.3">
      <c r="A153" s="19">
        <f t="shared" si="91"/>
        <v>152</v>
      </c>
      <c r="B153" s="242" t="s">
        <v>560</v>
      </c>
      <c r="C153" s="46">
        <v>45811</v>
      </c>
      <c r="D153" s="46" t="s">
        <v>33</v>
      </c>
      <c r="E153" s="262" t="s">
        <v>310</v>
      </c>
      <c r="F153" s="42" t="s">
        <v>34</v>
      </c>
      <c r="G153" s="65">
        <v>36</v>
      </c>
      <c r="H153" s="8" t="s">
        <v>55</v>
      </c>
      <c r="I153" s="24" t="s">
        <v>211</v>
      </c>
      <c r="J153" s="45">
        <v>18867</v>
      </c>
      <c r="K153" s="43">
        <f t="shared" si="86"/>
        <v>1698</v>
      </c>
      <c r="L153" s="40">
        <f t="shared" si="87"/>
        <v>1698</v>
      </c>
      <c r="M153" s="40">
        <f t="shared" si="88"/>
        <v>0</v>
      </c>
      <c r="N153" s="41">
        <f t="shared" si="89"/>
        <v>22263</v>
      </c>
      <c r="O153" s="21">
        <f>N153-Q153</f>
        <v>47</v>
      </c>
      <c r="P153" s="349">
        <f>O153/J153</f>
        <v>2.4911220649811842E-3</v>
      </c>
      <c r="Q153" s="23">
        <v>22216</v>
      </c>
      <c r="R153" s="5">
        <v>45849</v>
      </c>
      <c r="S153" s="6" t="s">
        <v>74</v>
      </c>
      <c r="T153" s="10" t="s">
        <v>124</v>
      </c>
      <c r="U153" s="66"/>
      <c r="V153" s="8"/>
    </row>
    <row r="154" spans="1:22" ht="30" customHeight="1" x14ac:dyDescent="0.3">
      <c r="A154" s="19">
        <f t="shared" si="91"/>
        <v>153</v>
      </c>
      <c r="B154" s="242" t="s">
        <v>560</v>
      </c>
      <c r="C154" s="46">
        <v>45816</v>
      </c>
      <c r="D154" s="123" t="s">
        <v>70</v>
      </c>
      <c r="E154" s="262" t="s">
        <v>331</v>
      </c>
      <c r="F154" s="123" t="s">
        <v>142</v>
      </c>
      <c r="G154" s="124">
        <v>24</v>
      </c>
      <c r="H154" s="8" t="s">
        <v>46</v>
      </c>
      <c r="I154" s="24" t="s">
        <v>332</v>
      </c>
      <c r="J154" s="45">
        <v>336533</v>
      </c>
      <c r="K154" s="125">
        <f t="shared" si="86"/>
        <v>0</v>
      </c>
      <c r="L154" s="40">
        <f t="shared" si="87"/>
        <v>0</v>
      </c>
      <c r="M154" s="40">
        <f t="shared" si="88"/>
        <v>60576</v>
      </c>
      <c r="N154" s="41">
        <f t="shared" si="89"/>
        <v>397109</v>
      </c>
      <c r="O154" s="21">
        <f>J154*2%</f>
        <v>6730.66</v>
      </c>
      <c r="P154" s="349">
        <f>O154/J154</f>
        <v>0.02</v>
      </c>
      <c r="Q154" s="23">
        <f>N154-O154</f>
        <v>390378.34</v>
      </c>
      <c r="R154" s="5">
        <v>45849</v>
      </c>
      <c r="S154" s="6" t="s">
        <v>74</v>
      </c>
      <c r="T154" s="10" t="s">
        <v>96</v>
      </c>
      <c r="U154" s="66"/>
      <c r="V154" s="8"/>
    </row>
    <row r="155" spans="1:22" ht="30" customHeight="1" x14ac:dyDescent="0.3">
      <c r="A155" s="19">
        <f t="shared" si="91"/>
        <v>154</v>
      </c>
      <c r="B155" s="242" t="s">
        <v>560</v>
      </c>
      <c r="C155" s="222">
        <v>45821</v>
      </c>
      <c r="D155" s="222" t="s">
        <v>70</v>
      </c>
      <c r="E155" s="262" t="s">
        <v>370</v>
      </c>
      <c r="F155" s="222" t="s">
        <v>142</v>
      </c>
      <c r="G155" s="223">
        <v>24</v>
      </c>
      <c r="H155" s="8" t="s">
        <v>46</v>
      </c>
      <c r="I155" s="24" t="s">
        <v>371</v>
      </c>
      <c r="J155" s="45">
        <v>-59800</v>
      </c>
      <c r="K155" s="224">
        <f>ROUND(IF(G155=36,J155*9%,0),0)</f>
        <v>0</v>
      </c>
      <c r="L155" s="40">
        <f>ROUND(IF(G155=36,J155*9%,0),0)</f>
        <v>0</v>
      </c>
      <c r="M155" s="40">
        <f>ROUND(IF(G155=36,J155*0%,J155*18%),0)</f>
        <v>-10764</v>
      </c>
      <c r="N155" s="41">
        <f>J155+K155+L155+M155</f>
        <v>-70564</v>
      </c>
      <c r="O155" s="21">
        <f>J155*2%</f>
        <v>-1196</v>
      </c>
      <c r="P155" s="349">
        <f>O155/J155</f>
        <v>0.02</v>
      </c>
      <c r="Q155" s="23">
        <f>N155-O155</f>
        <v>-69368</v>
      </c>
      <c r="R155" s="5">
        <v>45849</v>
      </c>
      <c r="S155" s="6" t="s">
        <v>74</v>
      </c>
      <c r="T155" s="10" t="s">
        <v>96</v>
      </c>
      <c r="U155" s="66"/>
      <c r="V155" s="8"/>
    </row>
    <row r="156" spans="1:22" ht="30" customHeight="1" x14ac:dyDescent="0.3">
      <c r="A156" s="19">
        <f t="shared" si="91"/>
        <v>155</v>
      </c>
      <c r="B156" s="242" t="s">
        <v>560</v>
      </c>
      <c r="C156" s="46">
        <v>45847</v>
      </c>
      <c r="D156" s="167" t="s">
        <v>70</v>
      </c>
      <c r="E156" s="300" t="s">
        <v>504</v>
      </c>
      <c r="F156" s="260" t="s">
        <v>158</v>
      </c>
      <c r="G156" s="261">
        <v>21</v>
      </c>
      <c r="H156" s="8" t="s">
        <v>56</v>
      </c>
      <c r="I156" s="24" t="s">
        <v>507</v>
      </c>
      <c r="J156" s="45">
        <v>36781</v>
      </c>
      <c r="K156" s="169">
        <f t="shared" ref="K156" si="92">ROUND(IF(G156=36,J156*9%,0),0)</f>
        <v>0</v>
      </c>
      <c r="L156" s="40">
        <f t="shared" ref="L156" si="93">ROUND(IF(G156=36,J156*9%,0),0)</f>
        <v>0</v>
      </c>
      <c r="M156" s="40">
        <f t="shared" ref="M156" si="94">ROUND(IF(G156=36,J156*0%,J156*18%),0)</f>
        <v>6621</v>
      </c>
      <c r="N156" s="41">
        <f t="shared" ref="N156" si="95">J156+K156+L156+M156</f>
        <v>43402</v>
      </c>
      <c r="O156" s="21">
        <f t="shared" ref="O156" si="96">J156*0.25%</f>
        <v>91.952500000000001</v>
      </c>
      <c r="P156" s="349">
        <f t="shared" ref="P156" si="97">O156/J156</f>
        <v>2.5000000000000001E-3</v>
      </c>
      <c r="Q156" s="23">
        <f>23088.54+20221.04</f>
        <v>43309.58</v>
      </c>
      <c r="R156" s="293" t="s">
        <v>585</v>
      </c>
      <c r="S156" s="6" t="s">
        <v>74</v>
      </c>
      <c r="T156" s="10" t="s">
        <v>96</v>
      </c>
      <c r="U156" s="66">
        <f>ROUND(N156-O156-Q156,0)</f>
        <v>0</v>
      </c>
      <c r="V156" s="8" t="s">
        <v>586</v>
      </c>
    </row>
    <row r="157" spans="1:22" ht="30" customHeight="1" x14ac:dyDescent="0.3">
      <c r="A157" s="19">
        <f t="shared" si="91"/>
        <v>156</v>
      </c>
      <c r="B157" s="242" t="s">
        <v>560</v>
      </c>
      <c r="C157" s="222">
        <v>45826</v>
      </c>
      <c r="D157" s="130" t="s">
        <v>129</v>
      </c>
      <c r="E157" s="290" t="s">
        <v>378</v>
      </c>
      <c r="F157" s="130" t="s">
        <v>146</v>
      </c>
      <c r="G157" s="131">
        <v>36</v>
      </c>
      <c r="H157" s="8" t="s">
        <v>52</v>
      </c>
      <c r="I157" s="24" t="s">
        <v>380</v>
      </c>
      <c r="J157" s="45">
        <f>89*200</f>
        <v>17800</v>
      </c>
      <c r="K157" s="132">
        <f t="shared" ref="K157:K187" si="98">ROUND(IF(G157=36,J157*9%,0),0)</f>
        <v>1602</v>
      </c>
      <c r="L157" s="40">
        <f t="shared" ref="L157:L187" si="99">ROUND(IF(G157=36,J157*9%,0),0)</f>
        <v>1602</v>
      </c>
      <c r="M157" s="40">
        <f t="shared" ref="M157:M187" si="100">ROUND(IF(G157=36,J157*0%,J157*18%),0)</f>
        <v>0</v>
      </c>
      <c r="N157" s="41">
        <f t="shared" ref="N157:N187" si="101">J157+K157+L157+M157</f>
        <v>21004</v>
      </c>
      <c r="O157" s="21">
        <f>J157*10%</f>
        <v>1780</v>
      </c>
      <c r="P157" s="349">
        <f t="shared" ref="P157:P158" si="102">O157/J157</f>
        <v>0.1</v>
      </c>
      <c r="Q157" s="23">
        <v>19224</v>
      </c>
      <c r="R157" s="67">
        <v>45855</v>
      </c>
      <c r="S157" s="6" t="s">
        <v>74</v>
      </c>
      <c r="T157" s="10" t="s">
        <v>147</v>
      </c>
      <c r="U157" s="66"/>
      <c r="V157" s="8"/>
    </row>
    <row r="158" spans="1:22" ht="30" customHeight="1" x14ac:dyDescent="0.3">
      <c r="A158" s="19">
        <f t="shared" si="91"/>
        <v>157</v>
      </c>
      <c r="B158" s="242" t="s">
        <v>560</v>
      </c>
      <c r="C158" s="222">
        <v>45826</v>
      </c>
      <c r="D158" s="130" t="s">
        <v>129</v>
      </c>
      <c r="E158" s="267" t="s">
        <v>379</v>
      </c>
      <c r="F158" s="130" t="s">
        <v>131</v>
      </c>
      <c r="G158" s="131">
        <v>36</v>
      </c>
      <c r="H158" s="8" t="s">
        <v>51</v>
      </c>
      <c r="I158" s="24" t="s">
        <v>380</v>
      </c>
      <c r="J158" s="45">
        <f>4*200</f>
        <v>800</v>
      </c>
      <c r="K158" s="132">
        <f t="shared" si="98"/>
        <v>72</v>
      </c>
      <c r="L158" s="40">
        <f t="shared" si="99"/>
        <v>72</v>
      </c>
      <c r="M158" s="40">
        <f t="shared" si="100"/>
        <v>0</v>
      </c>
      <c r="N158" s="41">
        <f t="shared" si="101"/>
        <v>944</v>
      </c>
      <c r="O158" s="21">
        <f>J158*10%</f>
        <v>80</v>
      </c>
      <c r="P158" s="349">
        <f t="shared" si="102"/>
        <v>0.1</v>
      </c>
      <c r="Q158" s="23">
        <v>864</v>
      </c>
      <c r="R158" s="67">
        <v>45855</v>
      </c>
      <c r="S158" s="6" t="s">
        <v>74</v>
      </c>
      <c r="T158" s="10" t="s">
        <v>147</v>
      </c>
      <c r="U158" s="66"/>
      <c r="V158" s="8"/>
    </row>
    <row r="159" spans="1:22" ht="30" customHeight="1" x14ac:dyDescent="0.3">
      <c r="A159" s="19">
        <f t="shared" si="91"/>
        <v>158</v>
      </c>
      <c r="B159" s="242" t="s">
        <v>560</v>
      </c>
      <c r="C159" s="205">
        <v>45838</v>
      </c>
      <c r="D159" s="205" t="s">
        <v>70</v>
      </c>
      <c r="E159" s="290" t="s">
        <v>438</v>
      </c>
      <c r="F159" s="205" t="s">
        <v>94</v>
      </c>
      <c r="G159" s="206">
        <v>24</v>
      </c>
      <c r="H159" s="8" t="s">
        <v>50</v>
      </c>
      <c r="I159" s="24" t="s">
        <v>441</v>
      </c>
      <c r="J159" s="162">
        <v>582877</v>
      </c>
      <c r="K159" s="41">
        <f t="shared" si="98"/>
        <v>0</v>
      </c>
      <c r="L159" s="201">
        <f t="shared" si="99"/>
        <v>0</v>
      </c>
      <c r="M159" s="40">
        <f t="shared" si="100"/>
        <v>104918</v>
      </c>
      <c r="N159" s="41">
        <f t="shared" si="101"/>
        <v>687795</v>
      </c>
      <c r="O159" s="21">
        <f t="shared" ref="O159:O165" si="103">J159*0.25%</f>
        <v>1457.1925000000001</v>
      </c>
      <c r="P159" s="349">
        <f t="shared" ref="P159:P165" si="104">O159/J159</f>
        <v>2.5000000000000001E-3</v>
      </c>
      <c r="Q159" s="23">
        <f>581420+104918</f>
        <v>686338</v>
      </c>
      <c r="R159" s="273" t="s">
        <v>536</v>
      </c>
      <c r="S159" s="6" t="s">
        <v>74</v>
      </c>
      <c r="T159" s="10" t="s">
        <v>96</v>
      </c>
      <c r="U159" s="66">
        <f>ROUND(N159-O159-Q159,0)</f>
        <v>0</v>
      </c>
      <c r="V159" s="8" t="s">
        <v>537</v>
      </c>
    </row>
    <row r="160" spans="1:22" ht="30" customHeight="1" x14ac:dyDescent="0.3">
      <c r="A160" s="19">
        <f t="shared" si="91"/>
        <v>159</v>
      </c>
      <c r="B160" s="242" t="s">
        <v>560</v>
      </c>
      <c r="C160" s="46">
        <v>45845</v>
      </c>
      <c r="D160" s="75" t="s">
        <v>70</v>
      </c>
      <c r="E160" s="290" t="s">
        <v>471</v>
      </c>
      <c r="F160" s="260" t="s">
        <v>94</v>
      </c>
      <c r="G160" s="261">
        <v>24</v>
      </c>
      <c r="H160" s="8" t="s">
        <v>50</v>
      </c>
      <c r="I160" s="24" t="s">
        <v>475</v>
      </c>
      <c r="J160" s="45">
        <v>4411941</v>
      </c>
      <c r="K160" s="43">
        <f t="shared" si="98"/>
        <v>0</v>
      </c>
      <c r="L160" s="40">
        <f t="shared" si="99"/>
        <v>0</v>
      </c>
      <c r="M160" s="40">
        <f t="shared" si="100"/>
        <v>794149</v>
      </c>
      <c r="N160" s="41">
        <f t="shared" si="101"/>
        <v>5206090</v>
      </c>
      <c r="O160" s="21">
        <f t="shared" si="103"/>
        <v>11029.852500000001</v>
      </c>
      <c r="P160" s="349">
        <f t="shared" si="104"/>
        <v>2.5000000000000001E-3</v>
      </c>
      <c r="Q160" s="23">
        <f>4400910.88+794149</f>
        <v>5195059.88</v>
      </c>
      <c r="R160" s="273" t="s">
        <v>536</v>
      </c>
      <c r="S160" s="6" t="s">
        <v>74</v>
      </c>
      <c r="T160" s="10" t="s">
        <v>96</v>
      </c>
      <c r="U160" s="66">
        <f>ROUND(N160-O160-Q160,0)</f>
        <v>0</v>
      </c>
      <c r="V160" s="8" t="s">
        <v>538</v>
      </c>
    </row>
    <row r="161" spans="1:22" ht="30" customHeight="1" x14ac:dyDescent="0.3">
      <c r="A161" s="19">
        <f t="shared" si="91"/>
        <v>160</v>
      </c>
      <c r="B161" s="242" t="s">
        <v>560</v>
      </c>
      <c r="C161" s="46">
        <v>45836</v>
      </c>
      <c r="D161" s="146" t="s">
        <v>70</v>
      </c>
      <c r="E161" s="290" t="s">
        <v>410</v>
      </c>
      <c r="F161" s="146" t="s">
        <v>87</v>
      </c>
      <c r="G161" s="147">
        <v>24</v>
      </c>
      <c r="H161" s="8" t="s">
        <v>53</v>
      </c>
      <c r="I161" s="24" t="s">
        <v>411</v>
      </c>
      <c r="J161" s="162">
        <v>401426</v>
      </c>
      <c r="K161" s="148">
        <f t="shared" si="98"/>
        <v>0</v>
      </c>
      <c r="L161" s="40">
        <f t="shared" si="99"/>
        <v>0</v>
      </c>
      <c r="M161" s="40">
        <f t="shared" si="100"/>
        <v>72257</v>
      </c>
      <c r="N161" s="41">
        <f t="shared" si="101"/>
        <v>473683</v>
      </c>
      <c r="O161" s="21">
        <f t="shared" si="103"/>
        <v>1003.5650000000001</v>
      </c>
      <c r="P161" s="349">
        <f t="shared" si="104"/>
        <v>2.5000000000000001E-3</v>
      </c>
      <c r="Q161" s="23">
        <f>N161-(J161*0.25%)-M161+72257</f>
        <v>472679.435</v>
      </c>
      <c r="R161" s="270" t="s">
        <v>535</v>
      </c>
      <c r="S161" s="6" t="s">
        <v>74</v>
      </c>
      <c r="T161" s="10" t="s">
        <v>80</v>
      </c>
      <c r="U161" s="66">
        <f t="shared" ref="U161:U209" si="105">N161-O161-Q161</f>
        <v>0</v>
      </c>
      <c r="V161" s="8" t="s">
        <v>530</v>
      </c>
    </row>
    <row r="162" spans="1:22" ht="30" customHeight="1" x14ac:dyDescent="0.3">
      <c r="A162" s="19">
        <f t="shared" si="91"/>
        <v>161</v>
      </c>
      <c r="B162" s="242" t="s">
        <v>560</v>
      </c>
      <c r="C162" s="205">
        <v>45838</v>
      </c>
      <c r="D162" s="160" t="s">
        <v>70</v>
      </c>
      <c r="E162" s="269" t="s">
        <v>424</v>
      </c>
      <c r="F162" s="160" t="s">
        <v>87</v>
      </c>
      <c r="G162" s="161">
        <v>24</v>
      </c>
      <c r="H162" s="8" t="s">
        <v>53</v>
      </c>
      <c r="I162" s="24" t="s">
        <v>430</v>
      </c>
      <c r="J162" s="162">
        <v>2607835</v>
      </c>
      <c r="K162" s="148">
        <f t="shared" si="98"/>
        <v>0</v>
      </c>
      <c r="L162" s="40">
        <f t="shared" si="99"/>
        <v>0</v>
      </c>
      <c r="M162" s="40">
        <f t="shared" si="100"/>
        <v>469410</v>
      </c>
      <c r="N162" s="41">
        <f t="shared" si="101"/>
        <v>3077245</v>
      </c>
      <c r="O162" s="21">
        <f t="shared" si="103"/>
        <v>6519.5875000000005</v>
      </c>
      <c r="P162" s="349">
        <f t="shared" si="104"/>
        <v>2.5000000000000001E-3</v>
      </c>
      <c r="Q162" s="23">
        <f>N162-(J162*0.25%)-M162+469410</f>
        <v>3070725.4125000001</v>
      </c>
      <c r="R162" s="270" t="s">
        <v>535</v>
      </c>
      <c r="S162" s="268" t="s">
        <v>74</v>
      </c>
      <c r="T162" s="10" t="s">
        <v>80</v>
      </c>
      <c r="U162" s="66">
        <f t="shared" si="105"/>
        <v>0</v>
      </c>
      <c r="V162" s="8" t="s">
        <v>531</v>
      </c>
    </row>
    <row r="163" spans="1:22" ht="30" customHeight="1" x14ac:dyDescent="0.3">
      <c r="A163" s="19">
        <f t="shared" si="91"/>
        <v>162</v>
      </c>
      <c r="B163" s="242" t="s">
        <v>560</v>
      </c>
      <c r="C163" s="46">
        <v>45838</v>
      </c>
      <c r="D163" s="146" t="s">
        <v>70</v>
      </c>
      <c r="E163" s="269" t="s">
        <v>429</v>
      </c>
      <c r="F163" s="146" t="s">
        <v>87</v>
      </c>
      <c r="G163" s="147">
        <v>24</v>
      </c>
      <c r="H163" s="8" t="s">
        <v>53</v>
      </c>
      <c r="I163" s="24" t="s">
        <v>431</v>
      </c>
      <c r="J163" s="45">
        <v>55001</v>
      </c>
      <c r="K163" s="148">
        <f t="shared" si="98"/>
        <v>0</v>
      </c>
      <c r="L163" s="40">
        <f t="shared" si="99"/>
        <v>0</v>
      </c>
      <c r="M163" s="40">
        <f t="shared" si="100"/>
        <v>9900</v>
      </c>
      <c r="N163" s="41">
        <f t="shared" si="101"/>
        <v>64901</v>
      </c>
      <c r="O163" s="21">
        <f t="shared" si="103"/>
        <v>137.5025</v>
      </c>
      <c r="P163" s="349">
        <f t="shared" si="104"/>
        <v>2.5000000000000001E-3</v>
      </c>
      <c r="Q163" s="23">
        <f>N163-(J163*0.25%)-M163+9900</f>
        <v>64763.497499999998</v>
      </c>
      <c r="R163" s="270" t="s">
        <v>535</v>
      </c>
      <c r="S163" s="268" t="s">
        <v>74</v>
      </c>
      <c r="T163" s="10" t="s">
        <v>80</v>
      </c>
      <c r="U163" s="66">
        <f t="shared" si="105"/>
        <v>0</v>
      </c>
      <c r="V163" s="8" t="s">
        <v>533</v>
      </c>
    </row>
    <row r="164" spans="1:22" ht="30" customHeight="1" x14ac:dyDescent="0.3">
      <c r="A164" s="19">
        <f t="shared" si="91"/>
        <v>163</v>
      </c>
      <c r="B164" s="242" t="s">
        <v>560</v>
      </c>
      <c r="C164" s="205">
        <v>45838</v>
      </c>
      <c r="D164" s="205" t="s">
        <v>70</v>
      </c>
      <c r="E164" s="269" t="s">
        <v>434</v>
      </c>
      <c r="F164" s="205" t="s">
        <v>87</v>
      </c>
      <c r="G164" s="206">
        <v>24</v>
      </c>
      <c r="H164" s="8" t="s">
        <v>53</v>
      </c>
      <c r="I164" s="24" t="s">
        <v>443</v>
      </c>
      <c r="J164" s="162">
        <v>351096</v>
      </c>
      <c r="K164" s="41">
        <f t="shared" si="98"/>
        <v>0</v>
      </c>
      <c r="L164" s="201">
        <f t="shared" si="99"/>
        <v>0</v>
      </c>
      <c r="M164" s="40">
        <f t="shared" si="100"/>
        <v>63197</v>
      </c>
      <c r="N164" s="41">
        <f t="shared" si="101"/>
        <v>414293</v>
      </c>
      <c r="O164" s="21">
        <f t="shared" si="103"/>
        <v>877.74</v>
      </c>
      <c r="P164" s="349">
        <f t="shared" si="104"/>
        <v>2.5000000000000001E-3</v>
      </c>
      <c r="Q164" s="23">
        <f>N164-(J164*0.25%)-M164+63197</f>
        <v>413415.26</v>
      </c>
      <c r="R164" s="270" t="s">
        <v>535</v>
      </c>
      <c r="S164" s="268" t="s">
        <v>74</v>
      </c>
      <c r="T164" s="10" t="s">
        <v>80</v>
      </c>
      <c r="U164" s="66">
        <f>ROUND(N164-O164-Q164,0)</f>
        <v>0</v>
      </c>
      <c r="V164" s="8" t="s">
        <v>532</v>
      </c>
    </row>
    <row r="165" spans="1:22" ht="30" customHeight="1" x14ac:dyDescent="0.3">
      <c r="A165" s="19">
        <f t="shared" si="91"/>
        <v>164</v>
      </c>
      <c r="B165" s="242" t="s">
        <v>560</v>
      </c>
      <c r="C165" s="46">
        <v>45845</v>
      </c>
      <c r="D165" s="75" t="s">
        <v>70</v>
      </c>
      <c r="E165" s="269" t="s">
        <v>470</v>
      </c>
      <c r="F165" s="260" t="s">
        <v>87</v>
      </c>
      <c r="G165" s="261">
        <v>24</v>
      </c>
      <c r="H165" s="8" t="s">
        <v>53</v>
      </c>
      <c r="I165" s="24" t="s">
        <v>474</v>
      </c>
      <c r="J165" s="45">
        <v>5623997</v>
      </c>
      <c r="K165" s="43">
        <f t="shared" si="98"/>
        <v>0</v>
      </c>
      <c r="L165" s="40">
        <f t="shared" si="99"/>
        <v>0</v>
      </c>
      <c r="M165" s="40">
        <f t="shared" si="100"/>
        <v>1012319</v>
      </c>
      <c r="N165" s="41">
        <f t="shared" si="101"/>
        <v>6636316</v>
      </c>
      <c r="O165" s="21">
        <f t="shared" si="103"/>
        <v>14059.9925</v>
      </c>
      <c r="P165" s="349">
        <f t="shared" si="104"/>
        <v>2.5000000000000001E-3</v>
      </c>
      <c r="Q165" s="23">
        <f>N165-(J165*0.25%)-M165+1012319</f>
        <v>6622256.0075000003</v>
      </c>
      <c r="R165" s="270" t="s">
        <v>535</v>
      </c>
      <c r="S165" s="268" t="s">
        <v>74</v>
      </c>
      <c r="T165" s="10" t="s">
        <v>80</v>
      </c>
      <c r="U165" s="66">
        <f t="shared" ref="U165" si="106">N165-O165-Q165</f>
        <v>0</v>
      </c>
      <c r="V165" s="8" t="s">
        <v>534</v>
      </c>
    </row>
    <row r="166" spans="1:22" ht="30" customHeight="1" x14ac:dyDescent="0.3">
      <c r="A166" s="19">
        <f t="shared" si="91"/>
        <v>165</v>
      </c>
      <c r="B166" s="242" t="s">
        <v>560</v>
      </c>
      <c r="C166" s="46">
        <v>45840</v>
      </c>
      <c r="D166" s="164" t="s">
        <v>70</v>
      </c>
      <c r="E166" s="290" t="s">
        <v>445</v>
      </c>
      <c r="F166" s="260" t="s">
        <v>134</v>
      </c>
      <c r="G166" s="261">
        <v>10</v>
      </c>
      <c r="H166" s="8" t="s">
        <v>39</v>
      </c>
      <c r="I166" s="24" t="s">
        <v>447</v>
      </c>
      <c r="J166" s="45">
        <v>39001</v>
      </c>
      <c r="K166" s="166">
        <f t="shared" si="98"/>
        <v>0</v>
      </c>
      <c r="L166" s="40">
        <f t="shared" si="99"/>
        <v>0</v>
      </c>
      <c r="M166" s="40">
        <f t="shared" si="100"/>
        <v>7020</v>
      </c>
      <c r="N166" s="41">
        <f t="shared" si="101"/>
        <v>46021</v>
      </c>
      <c r="O166" s="21">
        <f>N166-Q166</f>
        <v>781</v>
      </c>
      <c r="P166" s="349">
        <f t="shared" ref="P166:P167" si="107">O166/J166</f>
        <v>2.0025127560831774E-2</v>
      </c>
      <c r="Q166" s="23">
        <f>45240</f>
        <v>45240</v>
      </c>
      <c r="R166" s="67">
        <v>45856</v>
      </c>
      <c r="S166" s="6" t="s">
        <v>74</v>
      </c>
      <c r="T166" s="10" t="s">
        <v>136</v>
      </c>
      <c r="U166" s="66">
        <f t="shared" si="105"/>
        <v>0</v>
      </c>
      <c r="V166" s="8"/>
    </row>
    <row r="167" spans="1:22" ht="30" customHeight="1" x14ac:dyDescent="0.3">
      <c r="A167" s="19">
        <f t="shared" si="91"/>
        <v>166</v>
      </c>
      <c r="B167" s="242" t="s">
        <v>560</v>
      </c>
      <c r="C167" s="46">
        <v>45840</v>
      </c>
      <c r="D167" s="164" t="s">
        <v>70</v>
      </c>
      <c r="E167" s="260" t="s">
        <v>446</v>
      </c>
      <c r="F167" s="260" t="s">
        <v>134</v>
      </c>
      <c r="G167" s="261">
        <v>10</v>
      </c>
      <c r="H167" s="8" t="s">
        <v>39</v>
      </c>
      <c r="I167" s="24" t="s">
        <v>447</v>
      </c>
      <c r="J167" s="45">
        <v>60709</v>
      </c>
      <c r="K167" s="166">
        <f t="shared" si="98"/>
        <v>0</v>
      </c>
      <c r="L167" s="40">
        <f t="shared" si="99"/>
        <v>0</v>
      </c>
      <c r="M167" s="40">
        <f t="shared" si="100"/>
        <v>10928</v>
      </c>
      <c r="N167" s="41">
        <f t="shared" si="101"/>
        <v>71637</v>
      </c>
      <c r="O167" s="21">
        <f>N167-Q167</f>
        <v>1214.3800000000047</v>
      </c>
      <c r="P167" s="349">
        <f t="shared" si="107"/>
        <v>2.000329440445411E-2</v>
      </c>
      <c r="Q167" s="23">
        <v>70422.62</v>
      </c>
      <c r="R167" s="67">
        <v>45856</v>
      </c>
      <c r="S167" s="6" t="s">
        <v>74</v>
      </c>
      <c r="T167" s="10" t="s">
        <v>136</v>
      </c>
      <c r="U167" s="66">
        <f t="shared" si="105"/>
        <v>0</v>
      </c>
      <c r="V167" s="8"/>
    </row>
    <row r="168" spans="1:22" ht="30" customHeight="1" x14ac:dyDescent="0.3">
      <c r="A168" s="19">
        <f t="shared" si="91"/>
        <v>167</v>
      </c>
      <c r="B168" s="242" t="s">
        <v>560</v>
      </c>
      <c r="C168" s="205">
        <v>45838</v>
      </c>
      <c r="D168" s="205" t="s">
        <v>70</v>
      </c>
      <c r="E168" s="269" t="s">
        <v>408</v>
      </c>
      <c r="F168" s="205" t="s">
        <v>105</v>
      </c>
      <c r="G168" s="206">
        <v>24</v>
      </c>
      <c r="H168" s="8" t="s">
        <v>60</v>
      </c>
      <c r="I168" s="24" t="s">
        <v>409</v>
      </c>
      <c r="J168" s="162">
        <v>3407986</v>
      </c>
      <c r="K168" s="41">
        <f>ROUND(IF(G168=36,J168*9%,0),0)</f>
        <v>0</v>
      </c>
      <c r="L168" s="201">
        <f>ROUND(IF(G168=36,J168*9%,0),0)</f>
        <v>0</v>
      </c>
      <c r="M168" s="40">
        <f>ROUND(IF(G168=36,J168*0%,J168*18%),0)</f>
        <v>613437</v>
      </c>
      <c r="N168" s="41">
        <f>J168+K168+L168+M168</f>
        <v>4021423</v>
      </c>
      <c r="O168" s="21">
        <f>J168*0.25%</f>
        <v>8519.9650000000001</v>
      </c>
      <c r="P168" s="349">
        <f t="shared" ref="P168:P174" si="108">O168/J168</f>
        <v>2.5000000000000001E-3</v>
      </c>
      <c r="Q168" s="23">
        <f>3399466+613437</f>
        <v>4012903</v>
      </c>
      <c r="R168" s="275" t="s">
        <v>542</v>
      </c>
      <c r="S168" s="6" t="s">
        <v>74</v>
      </c>
      <c r="T168" s="10" t="s">
        <v>96</v>
      </c>
      <c r="U168" s="66">
        <f>ROUND(N168-O168-Q168,0)</f>
        <v>0</v>
      </c>
      <c r="V168" s="8" t="s">
        <v>539</v>
      </c>
    </row>
    <row r="169" spans="1:22" ht="30" customHeight="1" x14ac:dyDescent="0.3">
      <c r="A169" s="19">
        <f t="shared" si="91"/>
        <v>168</v>
      </c>
      <c r="B169" s="242" t="s">
        <v>560</v>
      </c>
      <c r="C169" s="46">
        <v>45845</v>
      </c>
      <c r="D169" s="75" t="s">
        <v>70</v>
      </c>
      <c r="E169" s="276" t="s">
        <v>472</v>
      </c>
      <c r="F169" s="260" t="s">
        <v>105</v>
      </c>
      <c r="G169" s="261">
        <v>24</v>
      </c>
      <c r="H169" s="8" t="s">
        <v>60</v>
      </c>
      <c r="I169" s="24" t="s">
        <v>473</v>
      </c>
      <c r="J169" s="45">
        <v>1022994</v>
      </c>
      <c r="K169" s="43">
        <f>ROUND(IF(G169=36,J169*9%,0),0)</f>
        <v>0</v>
      </c>
      <c r="L169" s="40">
        <f>ROUND(IF(G169=36,J169*9%,0),0)</f>
        <v>0</v>
      </c>
      <c r="M169" s="40">
        <f>ROUND(IF(G169=36,J169*0%,J169*18%),0)</f>
        <v>184139</v>
      </c>
      <c r="N169" s="41">
        <f>J169+K169+L169+M169</f>
        <v>1207133</v>
      </c>
      <c r="O169" s="21">
        <f>J169*0.25%</f>
        <v>2557.4850000000001</v>
      </c>
      <c r="P169" s="349">
        <f t="shared" si="108"/>
        <v>2.5000000000000001E-3</v>
      </c>
      <c r="Q169" s="23">
        <f>1020437+184139</f>
        <v>1204576</v>
      </c>
      <c r="R169" s="275" t="s">
        <v>542</v>
      </c>
      <c r="S169" s="6" t="s">
        <v>74</v>
      </c>
      <c r="T169" s="10" t="s">
        <v>96</v>
      </c>
      <c r="U169" s="66">
        <f>ROUND(N169-O169-Q169,0)</f>
        <v>0</v>
      </c>
      <c r="V169" s="8" t="s">
        <v>541</v>
      </c>
    </row>
    <row r="170" spans="1:22" ht="30" customHeight="1" x14ac:dyDescent="0.3">
      <c r="A170" s="19">
        <f t="shared" si="91"/>
        <v>169</v>
      </c>
      <c r="B170" s="242" t="s">
        <v>560</v>
      </c>
      <c r="C170" s="46">
        <v>45849</v>
      </c>
      <c r="D170" s="146" t="s">
        <v>70</v>
      </c>
      <c r="E170" s="290" t="s">
        <v>515</v>
      </c>
      <c r="F170" s="260" t="s">
        <v>72</v>
      </c>
      <c r="G170" s="261">
        <v>24</v>
      </c>
      <c r="H170" s="8" t="s">
        <v>61</v>
      </c>
      <c r="I170" s="24" t="s">
        <v>516</v>
      </c>
      <c r="J170" s="45">
        <v>65179</v>
      </c>
      <c r="K170" s="148">
        <f t="shared" si="98"/>
        <v>0</v>
      </c>
      <c r="L170" s="40">
        <f t="shared" si="99"/>
        <v>0</v>
      </c>
      <c r="M170" s="40">
        <f t="shared" si="100"/>
        <v>11732</v>
      </c>
      <c r="N170" s="41">
        <f t="shared" si="101"/>
        <v>76911</v>
      </c>
      <c r="O170" s="21">
        <f>N170-Q170</f>
        <v>1304</v>
      </c>
      <c r="P170" s="349">
        <f t="shared" si="108"/>
        <v>2.000644379324629E-2</v>
      </c>
      <c r="Q170" s="23">
        <v>75607</v>
      </c>
      <c r="R170" s="67">
        <v>45859</v>
      </c>
      <c r="S170" s="6" t="s">
        <v>74</v>
      </c>
      <c r="T170" s="10" t="s">
        <v>75</v>
      </c>
      <c r="U170" s="66">
        <f t="shared" si="105"/>
        <v>0</v>
      </c>
      <c r="V170" s="8"/>
    </row>
    <row r="171" spans="1:22" ht="30" customHeight="1" x14ac:dyDescent="0.3">
      <c r="A171" s="19">
        <f t="shared" si="91"/>
        <v>170</v>
      </c>
      <c r="B171" s="242" t="s">
        <v>560</v>
      </c>
      <c r="C171" s="46">
        <v>45836</v>
      </c>
      <c r="D171" s="146" t="s">
        <v>70</v>
      </c>
      <c r="E171" s="272" t="s">
        <v>413</v>
      </c>
      <c r="F171" s="146" t="s">
        <v>87</v>
      </c>
      <c r="G171" s="147">
        <v>24</v>
      </c>
      <c r="H171" s="8" t="s">
        <v>53</v>
      </c>
      <c r="I171" s="24" t="s">
        <v>423</v>
      </c>
      <c r="J171" s="162">
        <v>39698</v>
      </c>
      <c r="K171" s="148">
        <f t="shared" si="98"/>
        <v>0</v>
      </c>
      <c r="L171" s="40">
        <f t="shared" si="99"/>
        <v>0</v>
      </c>
      <c r="M171" s="40">
        <f t="shared" si="100"/>
        <v>7146</v>
      </c>
      <c r="N171" s="41">
        <f t="shared" si="101"/>
        <v>46844</v>
      </c>
      <c r="O171" s="233">
        <f>J171*0.25%</f>
        <v>99.245000000000005</v>
      </c>
      <c r="P171" s="350">
        <f>O171/J171</f>
        <v>2.5000000000000001E-3</v>
      </c>
      <c r="Q171" s="41">
        <f>N171-O171-M171+7146</f>
        <v>46744.754999999997</v>
      </c>
      <c r="R171" s="288" t="s">
        <v>580</v>
      </c>
      <c r="S171" s="271" t="s">
        <v>74</v>
      </c>
      <c r="T171" s="10" t="s">
        <v>80</v>
      </c>
      <c r="U171" s="289">
        <f t="shared" si="105"/>
        <v>0</v>
      </c>
      <c r="V171" s="8" t="s">
        <v>576</v>
      </c>
    </row>
    <row r="172" spans="1:22" ht="30" customHeight="1" x14ac:dyDescent="0.3">
      <c r="A172" s="19">
        <f t="shared" si="91"/>
        <v>171</v>
      </c>
      <c r="B172" s="242" t="s">
        <v>560</v>
      </c>
      <c r="C172" s="46">
        <v>45848</v>
      </c>
      <c r="D172" s="167" t="s">
        <v>70</v>
      </c>
      <c r="E172" s="272" t="s">
        <v>509</v>
      </c>
      <c r="F172" s="260" t="s">
        <v>87</v>
      </c>
      <c r="G172" s="261">
        <v>24</v>
      </c>
      <c r="H172" s="8" t="s">
        <v>53</v>
      </c>
      <c r="I172" s="24" t="s">
        <v>510</v>
      </c>
      <c r="J172" s="45">
        <v>42760</v>
      </c>
      <c r="K172" s="169">
        <f t="shared" si="98"/>
        <v>0</v>
      </c>
      <c r="L172" s="40">
        <f t="shared" si="99"/>
        <v>0</v>
      </c>
      <c r="M172" s="40">
        <f t="shared" si="100"/>
        <v>7697</v>
      </c>
      <c r="N172" s="41">
        <f t="shared" si="101"/>
        <v>50457</v>
      </c>
      <c r="O172" s="233">
        <f>J172*0.25%</f>
        <v>106.9</v>
      </c>
      <c r="P172" s="350">
        <f t="shared" si="108"/>
        <v>2.5000000000000001E-3</v>
      </c>
      <c r="Q172" s="41">
        <f>N172-O172</f>
        <v>50350.1</v>
      </c>
      <c r="R172" s="67">
        <v>45859</v>
      </c>
      <c r="S172" s="271" t="s">
        <v>74</v>
      </c>
      <c r="T172" s="10" t="s">
        <v>80</v>
      </c>
      <c r="U172" s="66">
        <f t="shared" si="105"/>
        <v>0</v>
      </c>
      <c r="V172" s="8"/>
    </row>
    <row r="173" spans="1:22" ht="30" customHeight="1" x14ac:dyDescent="0.3">
      <c r="A173" s="19">
        <f t="shared" si="91"/>
        <v>172</v>
      </c>
      <c r="B173" s="242" t="s">
        <v>560</v>
      </c>
      <c r="C173" s="46">
        <v>45849</v>
      </c>
      <c r="D173" s="167" t="s">
        <v>70</v>
      </c>
      <c r="E173" s="272" t="s">
        <v>511</v>
      </c>
      <c r="F173" s="260" t="s">
        <v>87</v>
      </c>
      <c r="G173" s="261">
        <v>24</v>
      </c>
      <c r="H173" s="8" t="s">
        <v>53</v>
      </c>
      <c r="I173" s="24" t="s">
        <v>513</v>
      </c>
      <c r="J173" s="45">
        <v>249580</v>
      </c>
      <c r="K173" s="169">
        <f t="shared" si="98"/>
        <v>0</v>
      </c>
      <c r="L173" s="40">
        <f t="shared" si="99"/>
        <v>0</v>
      </c>
      <c r="M173" s="40">
        <f t="shared" si="100"/>
        <v>44924</v>
      </c>
      <c r="N173" s="41">
        <f t="shared" si="101"/>
        <v>294504</v>
      </c>
      <c r="O173" s="233">
        <f>J173*0.25%</f>
        <v>623.95000000000005</v>
      </c>
      <c r="P173" s="350">
        <f>O173/J173</f>
        <v>2.5000000000000001E-3</v>
      </c>
      <c r="Q173" s="41">
        <f>N173-O173-M173+44924</f>
        <v>293880.05</v>
      </c>
      <c r="R173" s="288" t="s">
        <v>580</v>
      </c>
      <c r="S173" s="271" t="s">
        <v>74</v>
      </c>
      <c r="T173" s="10" t="s">
        <v>80</v>
      </c>
      <c r="U173" s="226">
        <f t="shared" si="105"/>
        <v>0</v>
      </c>
      <c r="V173" s="8" t="s">
        <v>579</v>
      </c>
    </row>
    <row r="174" spans="1:22" ht="30" customHeight="1" x14ac:dyDescent="0.3">
      <c r="A174" s="19">
        <f t="shared" si="91"/>
        <v>173</v>
      </c>
      <c r="B174" s="242" t="s">
        <v>560</v>
      </c>
      <c r="C174" s="46">
        <v>45849</v>
      </c>
      <c r="D174" s="167" t="s">
        <v>70</v>
      </c>
      <c r="E174" s="269" t="s">
        <v>512</v>
      </c>
      <c r="F174" s="260" t="s">
        <v>94</v>
      </c>
      <c r="G174" s="261">
        <v>24</v>
      </c>
      <c r="H174" s="8" t="s">
        <v>50</v>
      </c>
      <c r="I174" s="24" t="s">
        <v>514</v>
      </c>
      <c r="J174" s="45">
        <v>162945</v>
      </c>
      <c r="K174" s="169">
        <f t="shared" si="98"/>
        <v>0</v>
      </c>
      <c r="L174" s="40">
        <f t="shared" si="99"/>
        <v>0</v>
      </c>
      <c r="M174" s="40">
        <f t="shared" si="100"/>
        <v>29330</v>
      </c>
      <c r="N174" s="41">
        <f t="shared" si="101"/>
        <v>192275</v>
      </c>
      <c r="O174" s="21">
        <f>J174*0.25%</f>
        <v>407.36250000000001</v>
      </c>
      <c r="P174" s="349">
        <f t="shared" si="108"/>
        <v>2.5000000000000001E-3</v>
      </c>
      <c r="Q174" s="23">
        <f>29330+162537.83</f>
        <v>191867.83</v>
      </c>
      <c r="R174" s="67">
        <v>45860</v>
      </c>
      <c r="S174" s="6" t="s">
        <v>74</v>
      </c>
      <c r="T174" s="10" t="s">
        <v>96</v>
      </c>
      <c r="U174" s="66">
        <f>ROUND(N174-O174-Q174,0)</f>
        <v>0</v>
      </c>
      <c r="V174" s="8"/>
    </row>
    <row r="175" spans="1:22" ht="30" customHeight="1" x14ac:dyDescent="0.3">
      <c r="A175" s="19">
        <f t="shared" si="91"/>
        <v>174</v>
      </c>
      <c r="B175" s="242" t="s">
        <v>560</v>
      </c>
      <c r="C175" s="46">
        <v>45842</v>
      </c>
      <c r="D175" s="146" t="s">
        <v>70</v>
      </c>
      <c r="E175" s="290" t="s">
        <v>455</v>
      </c>
      <c r="F175" s="146" t="s">
        <v>87</v>
      </c>
      <c r="G175" s="147">
        <v>24</v>
      </c>
      <c r="H175" s="8" t="s">
        <v>53</v>
      </c>
      <c r="I175" s="24" t="s">
        <v>454</v>
      </c>
      <c r="J175" s="45">
        <v>91052</v>
      </c>
      <c r="K175" s="148">
        <f t="shared" si="98"/>
        <v>0</v>
      </c>
      <c r="L175" s="40">
        <f t="shared" si="99"/>
        <v>0</v>
      </c>
      <c r="M175" s="40">
        <f t="shared" si="100"/>
        <v>16389</v>
      </c>
      <c r="N175" s="41">
        <f t="shared" si="101"/>
        <v>107441</v>
      </c>
      <c r="O175" s="233">
        <f>J175*0.25%+955</f>
        <v>1182.6300000000001</v>
      </c>
      <c r="P175" s="349">
        <f>O175/J175</f>
        <v>1.2988512059043186E-2</v>
      </c>
      <c r="Q175" s="41">
        <f>89868.75+16389.62</f>
        <v>106258.37</v>
      </c>
      <c r="R175" s="288" t="s">
        <v>581</v>
      </c>
      <c r="S175" s="6" t="s">
        <v>74</v>
      </c>
      <c r="T175" s="10" t="s">
        <v>80</v>
      </c>
      <c r="U175" s="226">
        <f t="shared" ref="U175" si="109">N175-O175-Q175</f>
        <v>0</v>
      </c>
      <c r="V175" s="8" t="s">
        <v>577</v>
      </c>
    </row>
    <row r="176" spans="1:22" ht="30" customHeight="1" x14ac:dyDescent="0.3">
      <c r="A176" s="19">
        <f t="shared" si="91"/>
        <v>175</v>
      </c>
      <c r="B176" s="242" t="s">
        <v>560</v>
      </c>
      <c r="C176" s="46">
        <v>45847</v>
      </c>
      <c r="D176" s="167" t="s">
        <v>70</v>
      </c>
      <c r="E176" s="269" t="s">
        <v>503</v>
      </c>
      <c r="F176" s="260" t="s">
        <v>138</v>
      </c>
      <c r="G176" s="261">
        <v>36</v>
      </c>
      <c r="H176" s="8" t="s">
        <v>49</v>
      </c>
      <c r="I176" s="24" t="s">
        <v>508</v>
      </c>
      <c r="J176" s="45">
        <v>21792326</v>
      </c>
      <c r="K176" s="169">
        <f t="shared" si="98"/>
        <v>1961309</v>
      </c>
      <c r="L176" s="40">
        <f t="shared" si="99"/>
        <v>1961309</v>
      </c>
      <c r="M176" s="40">
        <f t="shared" si="100"/>
        <v>0</v>
      </c>
      <c r="N176" s="41">
        <f t="shared" si="101"/>
        <v>25714944</v>
      </c>
      <c r="O176" s="21">
        <f>N176-Q176</f>
        <v>54480.320000000298</v>
      </c>
      <c r="P176" s="349">
        <f t="shared" ref="P176:P180" si="110">O176/J176</f>
        <v>2.4999772855821036E-3</v>
      </c>
      <c r="Q176" s="23">
        <f>25660463.68</f>
        <v>25660463.68</v>
      </c>
      <c r="R176" s="67">
        <v>45868</v>
      </c>
      <c r="S176" s="6" t="s">
        <v>74</v>
      </c>
      <c r="T176" s="10" t="s">
        <v>96</v>
      </c>
      <c r="U176" s="66"/>
      <c r="V176" s="8"/>
    </row>
    <row r="177" spans="1:22" ht="30" customHeight="1" x14ac:dyDescent="0.3">
      <c r="A177" s="19">
        <f t="shared" si="91"/>
        <v>176</v>
      </c>
      <c r="B177" s="242" t="s">
        <v>560</v>
      </c>
      <c r="C177" s="46">
        <v>45847</v>
      </c>
      <c r="D177" s="167" t="s">
        <v>70</v>
      </c>
      <c r="E177" s="269" t="s">
        <v>505</v>
      </c>
      <c r="F177" s="260" t="s">
        <v>138</v>
      </c>
      <c r="G177" s="261">
        <v>36</v>
      </c>
      <c r="H177" s="8" t="s">
        <v>49</v>
      </c>
      <c r="I177" s="24" t="s">
        <v>506</v>
      </c>
      <c r="J177" s="45">
        <v>2007207</v>
      </c>
      <c r="K177" s="169">
        <f t="shared" si="98"/>
        <v>180649</v>
      </c>
      <c r="L177" s="40">
        <f t="shared" si="99"/>
        <v>180649</v>
      </c>
      <c r="M177" s="40">
        <f t="shared" si="100"/>
        <v>0</v>
      </c>
      <c r="N177" s="41">
        <f t="shared" si="101"/>
        <v>2368505</v>
      </c>
      <c r="O177" s="21">
        <f>N177-Q177</f>
        <v>5018.7400000002235</v>
      </c>
      <c r="P177" s="349">
        <f t="shared" si="110"/>
        <v>2.5003599529098012E-3</v>
      </c>
      <c r="Q177" s="23">
        <f>2363486.26</f>
        <v>2363486.2599999998</v>
      </c>
      <c r="R177" s="67">
        <v>45868</v>
      </c>
      <c r="S177" s="6" t="s">
        <v>74</v>
      </c>
      <c r="T177" s="10" t="s">
        <v>96</v>
      </c>
      <c r="U177" s="66"/>
      <c r="V177" s="8"/>
    </row>
    <row r="178" spans="1:22" ht="30" customHeight="1" x14ac:dyDescent="0.3">
      <c r="A178" s="19">
        <f t="shared" si="91"/>
        <v>177</v>
      </c>
      <c r="B178" s="242" t="s">
        <v>560</v>
      </c>
      <c r="C178" s="46">
        <v>45840</v>
      </c>
      <c r="D178" s="123" t="s">
        <v>70</v>
      </c>
      <c r="E178" s="269" t="s">
        <v>452</v>
      </c>
      <c r="F178" s="260" t="s">
        <v>142</v>
      </c>
      <c r="G178" s="261">
        <v>24</v>
      </c>
      <c r="H178" s="8" t="s">
        <v>46</v>
      </c>
      <c r="I178" s="24" t="s">
        <v>453</v>
      </c>
      <c r="J178" s="45">
        <v>282385</v>
      </c>
      <c r="K178" s="125">
        <f t="shared" si="98"/>
        <v>0</v>
      </c>
      <c r="L178" s="40">
        <f t="shared" si="99"/>
        <v>0</v>
      </c>
      <c r="M178" s="40">
        <f t="shared" si="100"/>
        <v>50829</v>
      </c>
      <c r="N178" s="41">
        <f t="shared" si="101"/>
        <v>333214</v>
      </c>
      <c r="O178" s="21">
        <f>J178*2%</f>
        <v>5647.7</v>
      </c>
      <c r="P178" s="349">
        <f t="shared" si="110"/>
        <v>0.02</v>
      </c>
      <c r="Q178" s="23">
        <v>327566.3</v>
      </c>
      <c r="R178" s="67">
        <v>45869</v>
      </c>
      <c r="S178" s="6" t="s">
        <v>74</v>
      </c>
      <c r="T178" s="10" t="s">
        <v>96</v>
      </c>
      <c r="U178" s="66"/>
      <c r="V178" s="8"/>
    </row>
    <row r="179" spans="1:22" ht="30" customHeight="1" x14ac:dyDescent="0.3">
      <c r="A179" s="19">
        <f t="shared" si="91"/>
        <v>178</v>
      </c>
      <c r="B179" s="285" t="s">
        <v>558</v>
      </c>
      <c r="C179" s="46">
        <v>45849</v>
      </c>
      <c r="D179" s="46" t="s">
        <v>70</v>
      </c>
      <c r="E179" s="269" t="s">
        <v>478</v>
      </c>
      <c r="F179" s="260" t="s">
        <v>94</v>
      </c>
      <c r="G179" s="261">
        <v>24</v>
      </c>
      <c r="H179" s="8" t="s">
        <v>50</v>
      </c>
      <c r="I179" s="24" t="s">
        <v>480</v>
      </c>
      <c r="J179" s="45">
        <v>4375</v>
      </c>
      <c r="K179" s="43">
        <f t="shared" si="98"/>
        <v>0</v>
      </c>
      <c r="L179" s="40">
        <f t="shared" si="99"/>
        <v>0</v>
      </c>
      <c r="M179" s="40">
        <f t="shared" si="100"/>
        <v>788</v>
      </c>
      <c r="N179" s="41">
        <f t="shared" si="101"/>
        <v>5163</v>
      </c>
      <c r="O179" s="21">
        <f>J179*0.25%</f>
        <v>10.9375</v>
      </c>
      <c r="P179" s="349">
        <f t="shared" si="110"/>
        <v>2.5000000000000001E-3</v>
      </c>
      <c r="Q179" s="23">
        <f>4364+787.5</f>
        <v>5151.5</v>
      </c>
      <c r="R179" s="288" t="s">
        <v>574</v>
      </c>
      <c r="S179" s="6" t="s">
        <v>74</v>
      </c>
      <c r="T179" s="10" t="s">
        <v>96</v>
      </c>
      <c r="U179" s="66">
        <f>ROUND(N179-O179-Q179,0)-1</f>
        <v>0</v>
      </c>
      <c r="V179" s="8" t="s">
        <v>582</v>
      </c>
    </row>
    <row r="180" spans="1:22" ht="30" customHeight="1" x14ac:dyDescent="0.3">
      <c r="A180" s="19">
        <f t="shared" si="91"/>
        <v>179</v>
      </c>
      <c r="B180" s="285" t="s">
        <v>558</v>
      </c>
      <c r="C180" s="46">
        <v>45849</v>
      </c>
      <c r="D180" s="46" t="s">
        <v>70</v>
      </c>
      <c r="E180" s="269" t="s">
        <v>477</v>
      </c>
      <c r="F180" s="260" t="s">
        <v>87</v>
      </c>
      <c r="G180" s="261">
        <v>24</v>
      </c>
      <c r="H180" s="8" t="s">
        <v>53</v>
      </c>
      <c r="I180" s="24" t="s">
        <v>479</v>
      </c>
      <c r="J180" s="45">
        <v>30000</v>
      </c>
      <c r="K180" s="43">
        <f t="shared" si="98"/>
        <v>0</v>
      </c>
      <c r="L180" s="40">
        <f t="shared" si="99"/>
        <v>0</v>
      </c>
      <c r="M180" s="40">
        <f t="shared" si="100"/>
        <v>5400</v>
      </c>
      <c r="N180" s="41">
        <f t="shared" si="101"/>
        <v>35400</v>
      </c>
      <c r="O180" s="233">
        <f>J180*0.25%</f>
        <v>75</v>
      </c>
      <c r="P180" s="350">
        <f t="shared" si="110"/>
        <v>2.5000000000000001E-3</v>
      </c>
      <c r="Q180" s="41">
        <f>29925+5400</f>
        <v>35325</v>
      </c>
      <c r="R180" s="288" t="s">
        <v>574</v>
      </c>
      <c r="S180" s="6" t="s">
        <v>74</v>
      </c>
      <c r="T180" s="10" t="s">
        <v>80</v>
      </c>
      <c r="U180" s="226">
        <f t="shared" ref="U180" si="111">N180-O180-Q180</f>
        <v>0</v>
      </c>
      <c r="V180" s="8" t="s">
        <v>578</v>
      </c>
    </row>
    <row r="181" spans="1:22" ht="30" customHeight="1" x14ac:dyDescent="0.3">
      <c r="A181" s="19">
        <f t="shared" si="91"/>
        <v>180</v>
      </c>
      <c r="B181" s="285" t="s">
        <v>558</v>
      </c>
      <c r="C181" s="46">
        <v>45869</v>
      </c>
      <c r="D181" s="75" t="s">
        <v>70</v>
      </c>
      <c r="E181" s="281" t="s">
        <v>550</v>
      </c>
      <c r="F181" s="260" t="s">
        <v>126</v>
      </c>
      <c r="G181" s="261">
        <v>24</v>
      </c>
      <c r="H181" s="8" t="s">
        <v>125</v>
      </c>
      <c r="I181" s="24" t="s">
        <v>551</v>
      </c>
      <c r="J181" s="45">
        <v>11710532</v>
      </c>
      <c r="K181" s="43">
        <f t="shared" si="98"/>
        <v>0</v>
      </c>
      <c r="L181" s="40">
        <f t="shared" si="99"/>
        <v>0</v>
      </c>
      <c r="M181" s="40">
        <f t="shared" si="100"/>
        <v>2107896</v>
      </c>
      <c r="N181" s="41">
        <f t="shared" si="101"/>
        <v>13818428</v>
      </c>
      <c r="O181" s="21">
        <f>N181-Q181</f>
        <v>29276.240000000224</v>
      </c>
      <c r="P181" s="349">
        <f t="shared" ref="P181:P187" si="112">O181/J181</f>
        <v>2.4999923146104912E-3</v>
      </c>
      <c r="Q181" s="23">
        <v>13789151.76</v>
      </c>
      <c r="R181" s="67">
        <v>45874</v>
      </c>
      <c r="S181" s="6" t="s">
        <v>74</v>
      </c>
      <c r="T181" s="10" t="s">
        <v>569</v>
      </c>
      <c r="U181" s="66"/>
      <c r="V181" s="8"/>
    </row>
    <row r="182" spans="1:22" ht="30" customHeight="1" x14ac:dyDescent="0.3">
      <c r="A182" s="19">
        <f t="shared" si="91"/>
        <v>181</v>
      </c>
      <c r="B182" s="285" t="s">
        <v>558</v>
      </c>
      <c r="C182" s="46">
        <v>45867</v>
      </c>
      <c r="D182" s="146" t="s">
        <v>288</v>
      </c>
      <c r="E182" s="277" t="s">
        <v>544</v>
      </c>
      <c r="F182" s="146" t="s">
        <v>289</v>
      </c>
      <c r="G182" s="147">
        <v>36</v>
      </c>
      <c r="H182" s="8" t="s">
        <v>287</v>
      </c>
      <c r="I182" s="24" t="s">
        <v>548</v>
      </c>
      <c r="J182" s="162">
        <v>492001.07</v>
      </c>
      <c r="K182" s="148">
        <f t="shared" si="98"/>
        <v>44280</v>
      </c>
      <c r="L182" s="40">
        <f t="shared" si="99"/>
        <v>44280</v>
      </c>
      <c r="M182" s="40">
        <f t="shared" si="100"/>
        <v>0</v>
      </c>
      <c r="N182" s="41">
        <f t="shared" si="101"/>
        <v>580561.07000000007</v>
      </c>
      <c r="O182" s="21">
        <f>J182*0.25%</f>
        <v>1230.002675</v>
      </c>
      <c r="P182" s="349">
        <f t="shared" si="112"/>
        <v>2.5000000000000001E-3</v>
      </c>
      <c r="Q182" s="23">
        <f>N182-O182</f>
        <v>579331.06732500007</v>
      </c>
      <c r="R182" s="67">
        <v>45875</v>
      </c>
      <c r="S182" s="6" t="s">
        <v>74</v>
      </c>
      <c r="T182" s="10" t="s">
        <v>322</v>
      </c>
      <c r="U182" s="66"/>
      <c r="V182" s="8"/>
    </row>
    <row r="183" spans="1:22" ht="30" customHeight="1" x14ac:dyDescent="0.3">
      <c r="A183" s="19">
        <f t="shared" si="91"/>
        <v>182</v>
      </c>
      <c r="B183" s="285" t="s">
        <v>558</v>
      </c>
      <c r="C183" s="46">
        <v>45867</v>
      </c>
      <c r="D183" s="146" t="s">
        <v>288</v>
      </c>
      <c r="E183" s="277" t="s">
        <v>545</v>
      </c>
      <c r="F183" s="146" t="s">
        <v>289</v>
      </c>
      <c r="G183" s="147">
        <v>36</v>
      </c>
      <c r="H183" s="8" t="s">
        <v>287</v>
      </c>
      <c r="I183" s="24" t="s">
        <v>549</v>
      </c>
      <c r="J183" s="162">
        <v>127620</v>
      </c>
      <c r="K183" s="148">
        <f t="shared" si="98"/>
        <v>11486</v>
      </c>
      <c r="L183" s="40">
        <f t="shared" si="99"/>
        <v>11486</v>
      </c>
      <c r="M183" s="40">
        <f t="shared" si="100"/>
        <v>0</v>
      </c>
      <c r="N183" s="41">
        <f t="shared" si="101"/>
        <v>150592</v>
      </c>
      <c r="O183" s="21">
        <f>J183*0.25%</f>
        <v>319.05</v>
      </c>
      <c r="P183" s="349">
        <f t="shared" si="112"/>
        <v>2.5000000000000001E-3</v>
      </c>
      <c r="Q183" s="23">
        <f>N183-O183</f>
        <v>150272.95000000001</v>
      </c>
      <c r="R183" s="67">
        <v>45875</v>
      </c>
      <c r="S183" s="6" t="s">
        <v>74</v>
      </c>
      <c r="T183" s="10" t="s">
        <v>322</v>
      </c>
      <c r="U183" s="66"/>
      <c r="V183" s="8"/>
    </row>
    <row r="184" spans="1:22" ht="30" customHeight="1" x14ac:dyDescent="0.3">
      <c r="A184" s="19">
        <f t="shared" si="91"/>
        <v>183</v>
      </c>
      <c r="B184" s="285" t="s">
        <v>558</v>
      </c>
      <c r="C184" s="46">
        <v>45867</v>
      </c>
      <c r="D184" s="146" t="s">
        <v>288</v>
      </c>
      <c r="E184" s="277" t="s">
        <v>546</v>
      </c>
      <c r="F184" s="146" t="s">
        <v>289</v>
      </c>
      <c r="G184" s="147">
        <v>36</v>
      </c>
      <c r="H184" s="8" t="s">
        <v>287</v>
      </c>
      <c r="I184" s="24" t="s">
        <v>548</v>
      </c>
      <c r="J184" s="162">
        <v>87266.02</v>
      </c>
      <c r="K184" s="148">
        <f t="shared" si="98"/>
        <v>7854</v>
      </c>
      <c r="L184" s="40">
        <f t="shared" si="99"/>
        <v>7854</v>
      </c>
      <c r="M184" s="40">
        <f t="shared" si="100"/>
        <v>0</v>
      </c>
      <c r="N184" s="41">
        <f t="shared" si="101"/>
        <v>102974.02</v>
      </c>
      <c r="O184" s="21">
        <f>J184*0.25%</f>
        <v>218.16505000000001</v>
      </c>
      <c r="P184" s="349">
        <f t="shared" si="112"/>
        <v>2.5000000000000001E-3</v>
      </c>
      <c r="Q184" s="23">
        <f>N184-O184</f>
        <v>102755.85495000001</v>
      </c>
      <c r="R184" s="67">
        <v>45875</v>
      </c>
      <c r="S184" s="6" t="s">
        <v>74</v>
      </c>
      <c r="T184" s="10" t="s">
        <v>322</v>
      </c>
      <c r="U184" s="66"/>
      <c r="V184" s="8"/>
    </row>
    <row r="185" spans="1:22" ht="30" customHeight="1" x14ac:dyDescent="0.3">
      <c r="A185" s="19">
        <f t="shared" si="91"/>
        <v>184</v>
      </c>
      <c r="B185" s="285" t="s">
        <v>558</v>
      </c>
      <c r="C185" s="46">
        <v>45867</v>
      </c>
      <c r="D185" s="146" t="s">
        <v>288</v>
      </c>
      <c r="E185" s="277" t="s">
        <v>547</v>
      </c>
      <c r="F185" s="146" t="s">
        <v>289</v>
      </c>
      <c r="G185" s="147">
        <v>36</v>
      </c>
      <c r="H185" s="8" t="s">
        <v>287</v>
      </c>
      <c r="I185" s="24" t="s">
        <v>549</v>
      </c>
      <c r="J185" s="162">
        <v>37661</v>
      </c>
      <c r="K185" s="148">
        <f t="shared" si="98"/>
        <v>3389</v>
      </c>
      <c r="L185" s="40">
        <f t="shared" si="99"/>
        <v>3389</v>
      </c>
      <c r="M185" s="40">
        <f t="shared" si="100"/>
        <v>0</v>
      </c>
      <c r="N185" s="41">
        <f t="shared" si="101"/>
        <v>44439</v>
      </c>
      <c r="O185" s="21">
        <f>J185*0.25%</f>
        <v>94.152500000000003</v>
      </c>
      <c r="P185" s="349">
        <f t="shared" si="112"/>
        <v>2.5000000000000001E-3</v>
      </c>
      <c r="Q185" s="23">
        <f>N185-O185</f>
        <v>44344.847500000003</v>
      </c>
      <c r="R185" s="67">
        <v>45875</v>
      </c>
      <c r="S185" s="6" t="s">
        <v>74</v>
      </c>
      <c r="T185" s="10" t="s">
        <v>322</v>
      </c>
      <c r="U185" s="66"/>
      <c r="V185" s="8"/>
    </row>
    <row r="186" spans="1:22" ht="30" customHeight="1" x14ac:dyDescent="0.3">
      <c r="A186" s="19">
        <f t="shared" si="91"/>
        <v>185</v>
      </c>
      <c r="B186" s="285" t="s">
        <v>558</v>
      </c>
      <c r="C186" s="46">
        <v>45846</v>
      </c>
      <c r="D186" s="46" t="s">
        <v>33</v>
      </c>
      <c r="E186" s="278" t="s">
        <v>497</v>
      </c>
      <c r="F186" s="260" t="s">
        <v>34</v>
      </c>
      <c r="G186" s="261">
        <v>36</v>
      </c>
      <c r="H186" s="8" t="s">
        <v>55</v>
      </c>
      <c r="I186" s="24" t="s">
        <v>500</v>
      </c>
      <c r="J186" s="45">
        <f>(72050*29)+(53350*1)+(99751*6)</f>
        <v>2741306</v>
      </c>
      <c r="K186" s="43">
        <f t="shared" si="98"/>
        <v>246718</v>
      </c>
      <c r="L186" s="40">
        <f t="shared" si="99"/>
        <v>246718</v>
      </c>
      <c r="M186" s="40">
        <f t="shared" si="100"/>
        <v>0</v>
      </c>
      <c r="N186" s="41">
        <f t="shared" si="101"/>
        <v>3234742</v>
      </c>
      <c r="O186" s="21">
        <f>N186-Q186</f>
        <v>6853.2650000001304</v>
      </c>
      <c r="P186" s="349">
        <f t="shared" si="112"/>
        <v>2.5000000000000478E-3</v>
      </c>
      <c r="Q186" s="23">
        <f>N186-(J186*0.25%)</f>
        <v>3227888.7349999999</v>
      </c>
      <c r="R186" s="67">
        <v>45877</v>
      </c>
      <c r="S186" s="6" t="s">
        <v>74</v>
      </c>
      <c r="T186" s="10" t="s">
        <v>124</v>
      </c>
      <c r="U186" s="66"/>
      <c r="V186" s="8"/>
    </row>
    <row r="187" spans="1:22" ht="30" customHeight="1" x14ac:dyDescent="0.3">
      <c r="A187" s="19">
        <f t="shared" si="91"/>
        <v>186</v>
      </c>
      <c r="B187" s="285" t="s">
        <v>558</v>
      </c>
      <c r="C187" s="46">
        <v>45846</v>
      </c>
      <c r="D187" s="46" t="s">
        <v>33</v>
      </c>
      <c r="E187" s="278" t="s">
        <v>498</v>
      </c>
      <c r="F187" s="260" t="s">
        <v>34</v>
      </c>
      <c r="G187" s="261">
        <v>36</v>
      </c>
      <c r="H187" s="8" t="s">
        <v>55</v>
      </c>
      <c r="I187" s="24" t="s">
        <v>501</v>
      </c>
      <c r="J187" s="45">
        <v>21433</v>
      </c>
      <c r="K187" s="43">
        <f t="shared" si="98"/>
        <v>1929</v>
      </c>
      <c r="L187" s="40">
        <f t="shared" si="99"/>
        <v>1929</v>
      </c>
      <c r="M187" s="40">
        <f t="shared" si="100"/>
        <v>0</v>
      </c>
      <c r="N187" s="41">
        <f t="shared" si="101"/>
        <v>25291</v>
      </c>
      <c r="O187" s="21">
        <f>N187-Q187</f>
        <v>53.582500000000437</v>
      </c>
      <c r="P187" s="349">
        <f t="shared" si="112"/>
        <v>2.5000000000000204E-3</v>
      </c>
      <c r="Q187" s="23">
        <f>N187-(J187*0.25%)</f>
        <v>25237.4175</v>
      </c>
      <c r="R187" s="67">
        <v>45877</v>
      </c>
      <c r="S187" s="6" t="s">
        <v>74</v>
      </c>
      <c r="T187" s="10" t="s">
        <v>124</v>
      </c>
      <c r="U187" s="66"/>
      <c r="V187" s="8"/>
    </row>
    <row r="188" spans="1:22" ht="30" customHeight="1" x14ac:dyDescent="0.3">
      <c r="A188" s="19">
        <f t="shared" si="91"/>
        <v>187</v>
      </c>
      <c r="B188" s="285" t="s">
        <v>558</v>
      </c>
      <c r="C188" s="46">
        <v>45782</v>
      </c>
      <c r="D188" s="60" t="s">
        <v>33</v>
      </c>
      <c r="E188" s="292" t="s">
        <v>218</v>
      </c>
      <c r="F188" s="60" t="s">
        <v>37</v>
      </c>
      <c r="G188" s="65">
        <v>36</v>
      </c>
      <c r="H188" s="8" t="s">
        <v>38</v>
      </c>
      <c r="I188" s="24" t="s">
        <v>219</v>
      </c>
      <c r="J188" s="45">
        <v>558999</v>
      </c>
      <c r="K188" s="43">
        <v>50310</v>
      </c>
      <c r="L188" s="40">
        <v>50310</v>
      </c>
      <c r="M188" s="40">
        <v>0</v>
      </c>
      <c r="N188" s="41">
        <v>659619</v>
      </c>
      <c r="O188" s="21">
        <v>55900</v>
      </c>
      <c r="P188" s="349">
        <v>0.10000017889119658</v>
      </c>
      <c r="Q188" s="23">
        <v>603719</v>
      </c>
      <c r="R188" s="5">
        <v>45882</v>
      </c>
      <c r="S188" s="6" t="s">
        <v>74</v>
      </c>
      <c r="T188" s="10" t="s">
        <v>124</v>
      </c>
      <c r="U188" s="66"/>
      <c r="V188" s="8"/>
    </row>
    <row r="189" spans="1:22" ht="30" customHeight="1" x14ac:dyDescent="0.3">
      <c r="A189" s="19">
        <f t="shared" si="91"/>
        <v>188</v>
      </c>
      <c r="B189" s="285" t="s">
        <v>558</v>
      </c>
      <c r="C189" s="46">
        <v>45815</v>
      </c>
      <c r="D189" s="60" t="s">
        <v>33</v>
      </c>
      <c r="E189" s="269" t="s">
        <v>329</v>
      </c>
      <c r="F189" s="60" t="s">
        <v>37</v>
      </c>
      <c r="G189" s="65">
        <v>36</v>
      </c>
      <c r="H189" s="8" t="s">
        <v>38</v>
      </c>
      <c r="I189" s="24" t="s">
        <v>330</v>
      </c>
      <c r="J189" s="45">
        <v>558999</v>
      </c>
      <c r="K189" s="43">
        <v>50310</v>
      </c>
      <c r="L189" s="40">
        <v>50310</v>
      </c>
      <c r="M189" s="40">
        <v>0</v>
      </c>
      <c r="N189" s="41">
        <v>659619</v>
      </c>
      <c r="O189" s="21">
        <v>55900</v>
      </c>
      <c r="P189" s="349">
        <v>0.10000017889119658</v>
      </c>
      <c r="Q189" s="23">
        <v>603719</v>
      </c>
      <c r="R189" s="5">
        <v>45882</v>
      </c>
      <c r="S189" s="6" t="s">
        <v>74</v>
      </c>
      <c r="T189" s="10" t="s">
        <v>124</v>
      </c>
      <c r="U189" s="66"/>
      <c r="V189" s="8"/>
    </row>
    <row r="190" spans="1:22" ht="30" customHeight="1" x14ac:dyDescent="0.3">
      <c r="A190" s="19">
        <f t="shared" si="91"/>
        <v>189</v>
      </c>
      <c r="B190" s="285" t="s">
        <v>558</v>
      </c>
      <c r="C190" s="46">
        <v>45857</v>
      </c>
      <c r="D190" s="130" t="s">
        <v>129</v>
      </c>
      <c r="E190" s="300" t="s">
        <v>527</v>
      </c>
      <c r="F190" s="130" t="s">
        <v>146</v>
      </c>
      <c r="G190" s="131">
        <v>36</v>
      </c>
      <c r="H190" s="8" t="s">
        <v>52</v>
      </c>
      <c r="I190" s="24" t="s">
        <v>529</v>
      </c>
      <c r="J190" s="45">
        <f>89*200</f>
        <v>17800</v>
      </c>
      <c r="K190" s="132">
        <f t="shared" ref="K190:K237" si="113">ROUND(IF(G190=36,J190*9%,0),0)</f>
        <v>1602</v>
      </c>
      <c r="L190" s="40">
        <f t="shared" ref="L190:L237" si="114">ROUND(IF(G190=36,J190*9%,0),0)</f>
        <v>1602</v>
      </c>
      <c r="M190" s="40">
        <f t="shared" ref="M190:M237" si="115">ROUND(IF(G190=36,J190*0%,J190*18%),0)</f>
        <v>0</v>
      </c>
      <c r="N190" s="41">
        <f t="shared" ref="N190:N237" si="116">J190+K190+L190+M190</f>
        <v>21004</v>
      </c>
      <c r="O190" s="21">
        <f>N190-Q190</f>
        <v>1780</v>
      </c>
      <c r="P190" s="349">
        <f>O190/J190</f>
        <v>0.1</v>
      </c>
      <c r="Q190" s="23">
        <v>19224</v>
      </c>
      <c r="R190" s="67">
        <v>45885</v>
      </c>
      <c r="S190" s="6" t="s">
        <v>74</v>
      </c>
      <c r="T190" s="10" t="s">
        <v>147</v>
      </c>
      <c r="U190" s="66"/>
      <c r="V190" s="8"/>
    </row>
    <row r="191" spans="1:22" ht="30" customHeight="1" x14ac:dyDescent="0.3">
      <c r="A191" s="19">
        <f t="shared" si="91"/>
        <v>190</v>
      </c>
      <c r="B191" s="285" t="s">
        <v>558</v>
      </c>
      <c r="C191" s="46">
        <v>45857</v>
      </c>
      <c r="D191" s="130" t="s">
        <v>129</v>
      </c>
      <c r="E191" s="300" t="s">
        <v>528</v>
      </c>
      <c r="F191" s="130" t="s">
        <v>131</v>
      </c>
      <c r="G191" s="131">
        <v>36</v>
      </c>
      <c r="H191" s="8" t="s">
        <v>51</v>
      </c>
      <c r="I191" s="24" t="s">
        <v>529</v>
      </c>
      <c r="J191" s="45">
        <f>4*200</f>
        <v>800</v>
      </c>
      <c r="K191" s="132">
        <f t="shared" si="113"/>
        <v>72</v>
      </c>
      <c r="L191" s="40">
        <f t="shared" si="114"/>
        <v>72</v>
      </c>
      <c r="M191" s="40">
        <f t="shared" si="115"/>
        <v>0</v>
      </c>
      <c r="N191" s="41">
        <f t="shared" si="116"/>
        <v>944</v>
      </c>
      <c r="O191" s="21">
        <f>N191-Q191</f>
        <v>80</v>
      </c>
      <c r="P191" s="349">
        <f>O191/J191</f>
        <v>0.1</v>
      </c>
      <c r="Q191" s="23">
        <v>864</v>
      </c>
      <c r="R191" s="67">
        <v>45885</v>
      </c>
      <c r="S191" s="6" t="s">
        <v>74</v>
      </c>
      <c r="T191" s="10" t="s">
        <v>147</v>
      </c>
      <c r="U191" s="66"/>
      <c r="V191" s="8"/>
    </row>
    <row r="192" spans="1:22" ht="30" customHeight="1" x14ac:dyDescent="0.3">
      <c r="A192" s="19">
        <f t="shared" si="91"/>
        <v>191</v>
      </c>
      <c r="B192" s="285" t="s">
        <v>558</v>
      </c>
      <c r="C192" s="222">
        <v>45831</v>
      </c>
      <c r="D192" s="60" t="s">
        <v>33</v>
      </c>
      <c r="E192" s="300" t="s">
        <v>381</v>
      </c>
      <c r="F192" s="60" t="s">
        <v>37</v>
      </c>
      <c r="G192" s="65">
        <v>36</v>
      </c>
      <c r="H192" s="8" t="s">
        <v>38</v>
      </c>
      <c r="I192" s="24" t="s">
        <v>382</v>
      </c>
      <c r="J192" s="45">
        <v>158333</v>
      </c>
      <c r="K192" s="230">
        <f t="shared" si="113"/>
        <v>14250</v>
      </c>
      <c r="L192" s="40">
        <f t="shared" si="114"/>
        <v>14250</v>
      </c>
      <c r="M192" s="40">
        <f t="shared" si="115"/>
        <v>0</v>
      </c>
      <c r="N192" s="41">
        <f t="shared" si="116"/>
        <v>186833</v>
      </c>
      <c r="O192" s="21">
        <f>J192*10%</f>
        <v>15833.300000000001</v>
      </c>
      <c r="P192" s="349">
        <f t="shared" ref="P192" si="117">O192/J192</f>
        <v>0.1</v>
      </c>
      <c r="Q192" s="23">
        <v>171000</v>
      </c>
      <c r="R192" s="67">
        <v>45897</v>
      </c>
      <c r="S192" s="6" t="s">
        <v>74</v>
      </c>
      <c r="T192" s="10" t="s">
        <v>124</v>
      </c>
      <c r="U192" s="66"/>
      <c r="V192" s="8"/>
    </row>
    <row r="193" spans="1:22" ht="30" customHeight="1" x14ac:dyDescent="0.3">
      <c r="A193" s="19">
        <f t="shared" si="91"/>
        <v>192</v>
      </c>
      <c r="B193" s="285" t="s">
        <v>558</v>
      </c>
      <c r="C193" s="46">
        <v>45873</v>
      </c>
      <c r="D193" s="167" t="s">
        <v>70</v>
      </c>
      <c r="E193" s="300" t="s">
        <v>561</v>
      </c>
      <c r="F193" s="260" t="s">
        <v>138</v>
      </c>
      <c r="G193" s="261">
        <v>36</v>
      </c>
      <c r="H193" s="8" t="s">
        <v>49</v>
      </c>
      <c r="I193" s="24" t="s">
        <v>564</v>
      </c>
      <c r="J193" s="45">
        <v>21157614</v>
      </c>
      <c r="K193" s="169">
        <f t="shared" si="113"/>
        <v>1904185</v>
      </c>
      <c r="L193" s="40">
        <f t="shared" si="114"/>
        <v>1904185</v>
      </c>
      <c r="M193" s="40">
        <f t="shared" si="115"/>
        <v>0</v>
      </c>
      <c r="N193" s="41">
        <f t="shared" si="116"/>
        <v>24965984</v>
      </c>
      <c r="O193" s="21">
        <f t="shared" ref="O193:O200" si="118">N193-Q193</f>
        <v>52893.480000000447</v>
      </c>
      <c r="P193" s="349">
        <f>O193/J193</f>
        <v>2.4999737683086783E-3</v>
      </c>
      <c r="Q193" s="23">
        <f>24913090.52</f>
        <v>24913090.52</v>
      </c>
      <c r="R193" s="67">
        <v>45897</v>
      </c>
      <c r="S193" s="6" t="s">
        <v>74</v>
      </c>
      <c r="T193" s="10" t="s">
        <v>96</v>
      </c>
      <c r="U193" s="66"/>
      <c r="V193" s="8"/>
    </row>
    <row r="194" spans="1:22" ht="30" customHeight="1" x14ac:dyDescent="0.3">
      <c r="A194" s="19">
        <f t="shared" si="91"/>
        <v>193</v>
      </c>
      <c r="B194" s="285" t="s">
        <v>558</v>
      </c>
      <c r="C194" s="46">
        <v>45873</v>
      </c>
      <c r="D194" s="167" t="s">
        <v>70</v>
      </c>
      <c r="E194" s="286" t="s">
        <v>563</v>
      </c>
      <c r="F194" s="260" t="s">
        <v>138</v>
      </c>
      <c r="G194" s="261">
        <v>36</v>
      </c>
      <c r="H194" s="8" t="s">
        <v>49</v>
      </c>
      <c r="I194" s="24" t="s">
        <v>566</v>
      </c>
      <c r="J194" s="45">
        <v>227382</v>
      </c>
      <c r="K194" s="169">
        <f t="shared" si="113"/>
        <v>20464</v>
      </c>
      <c r="L194" s="40">
        <f t="shared" si="114"/>
        <v>20464</v>
      </c>
      <c r="M194" s="40">
        <f t="shared" si="115"/>
        <v>0</v>
      </c>
      <c r="N194" s="41">
        <f t="shared" si="116"/>
        <v>268310</v>
      </c>
      <c r="O194" s="21">
        <f t="shared" si="118"/>
        <v>567.23999999999069</v>
      </c>
      <c r="P194" s="349">
        <f>O194/J194</f>
        <v>2.4946565691215256E-3</v>
      </c>
      <c r="Q194" s="23">
        <v>267742.76</v>
      </c>
      <c r="R194" s="67">
        <v>45897</v>
      </c>
      <c r="S194" s="6" t="s">
        <v>74</v>
      </c>
      <c r="T194" s="10" t="s">
        <v>96</v>
      </c>
      <c r="U194" s="66"/>
      <c r="V194" s="8"/>
    </row>
    <row r="195" spans="1:22" ht="30" customHeight="1" x14ac:dyDescent="0.3">
      <c r="A195" s="19">
        <f t="shared" si="91"/>
        <v>194</v>
      </c>
      <c r="B195" s="285" t="s">
        <v>558</v>
      </c>
      <c r="C195" s="46">
        <v>45873</v>
      </c>
      <c r="D195" s="167" t="s">
        <v>70</v>
      </c>
      <c r="E195" s="286" t="s">
        <v>567</v>
      </c>
      <c r="F195" s="167" t="s">
        <v>138</v>
      </c>
      <c r="G195" s="168">
        <v>36</v>
      </c>
      <c r="H195" s="8" t="s">
        <v>49</v>
      </c>
      <c r="I195" s="24" t="s">
        <v>568</v>
      </c>
      <c r="J195" s="39">
        <v>815130</v>
      </c>
      <c r="K195" s="169">
        <f t="shared" si="113"/>
        <v>73362</v>
      </c>
      <c r="L195" s="40">
        <f t="shared" si="114"/>
        <v>73362</v>
      </c>
      <c r="M195" s="40">
        <f t="shared" si="115"/>
        <v>0</v>
      </c>
      <c r="N195" s="41">
        <f t="shared" si="116"/>
        <v>961854</v>
      </c>
      <c r="O195" s="21">
        <f t="shared" si="118"/>
        <v>2038.5999999999767</v>
      </c>
      <c r="P195" s="349">
        <f>O195/J195</f>
        <v>2.500950768589031E-3</v>
      </c>
      <c r="Q195" s="23">
        <v>959815.4</v>
      </c>
      <c r="R195" s="67">
        <v>45897</v>
      </c>
      <c r="S195" s="6" t="s">
        <v>74</v>
      </c>
      <c r="T195" s="10" t="s">
        <v>96</v>
      </c>
      <c r="U195" s="66"/>
      <c r="V195" s="8"/>
    </row>
    <row r="196" spans="1:22" ht="30" customHeight="1" x14ac:dyDescent="0.3">
      <c r="A196" s="19">
        <f t="shared" si="91"/>
        <v>195</v>
      </c>
      <c r="B196" s="285" t="s">
        <v>558</v>
      </c>
      <c r="C196" s="46">
        <v>45889</v>
      </c>
      <c r="D196" s="167" t="s">
        <v>70</v>
      </c>
      <c r="E196" s="291" t="s">
        <v>583</v>
      </c>
      <c r="F196" s="260" t="s">
        <v>138</v>
      </c>
      <c r="G196" s="261">
        <v>36</v>
      </c>
      <c r="H196" s="8" t="s">
        <v>49</v>
      </c>
      <c r="I196" s="24" t="s">
        <v>584</v>
      </c>
      <c r="J196" s="45">
        <v>479759</v>
      </c>
      <c r="K196" s="169">
        <f t="shared" si="113"/>
        <v>43178</v>
      </c>
      <c r="L196" s="40">
        <f t="shared" si="114"/>
        <v>43178</v>
      </c>
      <c r="M196" s="40">
        <f t="shared" si="115"/>
        <v>0</v>
      </c>
      <c r="N196" s="41">
        <f t="shared" si="116"/>
        <v>566115</v>
      </c>
      <c r="O196" s="21">
        <f t="shared" si="118"/>
        <v>1198.3800000000047</v>
      </c>
      <c r="P196" s="349">
        <f>O196/J196</f>
        <v>2.4978791434866355E-3</v>
      </c>
      <c r="Q196" s="23">
        <v>564916.62</v>
      </c>
      <c r="R196" s="67">
        <v>45897</v>
      </c>
      <c r="S196" s="6" t="s">
        <v>74</v>
      </c>
      <c r="T196" s="10" t="s">
        <v>96</v>
      </c>
      <c r="U196" s="66"/>
      <c r="V196" s="8"/>
    </row>
    <row r="197" spans="1:22" ht="30" customHeight="1" x14ac:dyDescent="0.3">
      <c r="A197" s="19">
        <f t="shared" si="91"/>
        <v>196</v>
      </c>
      <c r="B197" s="285" t="s">
        <v>558</v>
      </c>
      <c r="C197" s="46">
        <v>45895</v>
      </c>
      <c r="D197" s="75" t="s">
        <v>70</v>
      </c>
      <c r="E197" s="300" t="s">
        <v>590</v>
      </c>
      <c r="F197" s="260" t="s">
        <v>126</v>
      </c>
      <c r="G197" s="261">
        <v>24</v>
      </c>
      <c r="H197" s="8" t="s">
        <v>125</v>
      </c>
      <c r="I197" s="24" t="s">
        <v>591</v>
      </c>
      <c r="J197" s="45">
        <f>10968177-28200</f>
        <v>10939977</v>
      </c>
      <c r="K197" s="43">
        <f t="shared" si="113"/>
        <v>0</v>
      </c>
      <c r="L197" s="40">
        <f t="shared" si="114"/>
        <v>0</v>
      </c>
      <c r="M197" s="40">
        <f t="shared" si="115"/>
        <v>1969196</v>
      </c>
      <c r="N197" s="41">
        <f t="shared" si="116"/>
        <v>12909173</v>
      </c>
      <c r="O197" s="21">
        <f t="shared" si="118"/>
        <v>27350.140000000596</v>
      </c>
      <c r="P197" s="349">
        <f>O197/J197</f>
        <v>2.500018053054462E-3</v>
      </c>
      <c r="Q197" s="23">
        <v>12881822.859999999</v>
      </c>
      <c r="R197" s="67">
        <v>45899</v>
      </c>
      <c r="S197" s="6" t="s">
        <v>74</v>
      </c>
      <c r="T197" s="10" t="s">
        <v>569</v>
      </c>
      <c r="U197" s="66"/>
      <c r="V197" s="8"/>
    </row>
    <row r="198" spans="1:22" ht="30" customHeight="1" x14ac:dyDescent="0.3">
      <c r="A198" s="19">
        <f t="shared" si="91"/>
        <v>197</v>
      </c>
      <c r="B198" s="304" t="s">
        <v>619</v>
      </c>
      <c r="C198" s="46">
        <v>45870</v>
      </c>
      <c r="D198" s="164" t="s">
        <v>70</v>
      </c>
      <c r="E198" s="282" t="s">
        <v>552</v>
      </c>
      <c r="F198" s="260" t="s">
        <v>134</v>
      </c>
      <c r="G198" s="261">
        <v>10</v>
      </c>
      <c r="H198" s="8" t="s">
        <v>39</v>
      </c>
      <c r="I198" s="24" t="s">
        <v>554</v>
      </c>
      <c r="J198" s="45">
        <v>39001</v>
      </c>
      <c r="K198" s="166">
        <f t="shared" si="113"/>
        <v>0</v>
      </c>
      <c r="L198" s="40">
        <f t="shared" si="114"/>
        <v>0</v>
      </c>
      <c r="M198" s="40">
        <f t="shared" si="115"/>
        <v>7020</v>
      </c>
      <c r="N198" s="41">
        <f t="shared" si="116"/>
        <v>46021</v>
      </c>
      <c r="O198" s="21">
        <f>N198-Q198</f>
        <v>781</v>
      </c>
      <c r="P198" s="349">
        <f t="shared" ref="P198" si="119">O198/J198</f>
        <v>2.0025127560831774E-2</v>
      </c>
      <c r="Q198" s="23">
        <f>42120+3120</f>
        <v>45240</v>
      </c>
      <c r="R198" s="316" t="s">
        <v>665</v>
      </c>
      <c r="S198" s="6" t="s">
        <v>74</v>
      </c>
      <c r="T198" s="10" t="s">
        <v>136</v>
      </c>
      <c r="U198" s="8" t="s">
        <v>666</v>
      </c>
      <c r="V198" s="8"/>
    </row>
    <row r="199" spans="1:22" ht="30" customHeight="1" x14ac:dyDescent="0.3">
      <c r="A199" s="19">
        <f t="shared" si="91"/>
        <v>198</v>
      </c>
      <c r="B199" s="304" t="s">
        <v>619</v>
      </c>
      <c r="C199" s="46">
        <v>45870</v>
      </c>
      <c r="D199" s="164" t="s">
        <v>70</v>
      </c>
      <c r="E199" s="300" t="s">
        <v>553</v>
      </c>
      <c r="F199" s="260" t="s">
        <v>134</v>
      </c>
      <c r="G199" s="261">
        <v>10</v>
      </c>
      <c r="H199" s="8" t="s">
        <v>39</v>
      </c>
      <c r="I199" s="24" t="s">
        <v>554</v>
      </c>
      <c r="J199" s="45">
        <v>60709</v>
      </c>
      <c r="K199" s="166">
        <f t="shared" si="113"/>
        <v>0</v>
      </c>
      <c r="L199" s="40">
        <f t="shared" si="114"/>
        <v>0</v>
      </c>
      <c r="M199" s="40">
        <f t="shared" si="115"/>
        <v>10928</v>
      </c>
      <c r="N199" s="41">
        <f t="shared" si="116"/>
        <v>71637</v>
      </c>
      <c r="O199" s="21">
        <f t="shared" si="118"/>
        <v>6071.3800000000047</v>
      </c>
      <c r="P199" s="349">
        <f t="shared" ref="P199" si="120">O199/J199</f>
        <v>0.10000790657068977</v>
      </c>
      <c r="Q199" s="23">
        <f>65565.62</f>
        <v>65565.62</v>
      </c>
      <c r="R199" s="67">
        <v>45901</v>
      </c>
      <c r="S199" s="6" t="s">
        <v>74</v>
      </c>
      <c r="T199" s="10" t="s">
        <v>136</v>
      </c>
      <c r="U199" s="66"/>
      <c r="V199" s="8"/>
    </row>
    <row r="200" spans="1:22" ht="30" customHeight="1" x14ac:dyDescent="0.3">
      <c r="A200" s="19">
        <f t="shared" si="91"/>
        <v>199</v>
      </c>
      <c r="B200" s="304" t="s">
        <v>619</v>
      </c>
      <c r="C200" s="46">
        <v>45873</v>
      </c>
      <c r="D200" s="167" t="s">
        <v>70</v>
      </c>
      <c r="E200" s="300" t="s">
        <v>562</v>
      </c>
      <c r="F200" s="260" t="s">
        <v>158</v>
      </c>
      <c r="G200" s="261">
        <v>21</v>
      </c>
      <c r="H200" s="8" t="s">
        <v>56</v>
      </c>
      <c r="I200" s="24" t="s">
        <v>565</v>
      </c>
      <c r="J200" s="45">
        <v>18731</v>
      </c>
      <c r="K200" s="169">
        <f t="shared" si="113"/>
        <v>0</v>
      </c>
      <c r="L200" s="40">
        <f t="shared" si="114"/>
        <v>0</v>
      </c>
      <c r="M200" s="40">
        <f t="shared" si="115"/>
        <v>3372</v>
      </c>
      <c r="N200" s="41">
        <f t="shared" si="116"/>
        <v>22103</v>
      </c>
      <c r="O200" s="21">
        <f t="shared" si="118"/>
        <v>47.419999999998254</v>
      </c>
      <c r="P200" s="349">
        <f t="shared" ref="P200:P205" si="121">O200/J200</f>
        <v>2.5316320538144388E-3</v>
      </c>
      <c r="Q200" s="23">
        <f>22055.58</f>
        <v>22055.58</v>
      </c>
      <c r="R200" s="67">
        <v>45901</v>
      </c>
      <c r="S200" s="6" t="s">
        <v>74</v>
      </c>
      <c r="T200" s="10" t="s">
        <v>96</v>
      </c>
      <c r="U200" s="66"/>
      <c r="V200" s="8"/>
    </row>
    <row r="201" spans="1:22" ht="30" customHeight="1" x14ac:dyDescent="0.3">
      <c r="A201" s="19">
        <f t="shared" si="91"/>
        <v>200</v>
      </c>
      <c r="B201" s="304" t="s">
        <v>619</v>
      </c>
      <c r="C201" s="46">
        <v>45898</v>
      </c>
      <c r="D201" s="146" t="s">
        <v>288</v>
      </c>
      <c r="E201" s="312" t="s">
        <v>594</v>
      </c>
      <c r="F201" s="146" t="s">
        <v>289</v>
      </c>
      <c r="G201" s="147">
        <v>36</v>
      </c>
      <c r="H201" s="8" t="s">
        <v>287</v>
      </c>
      <c r="I201" s="24" t="s">
        <v>598</v>
      </c>
      <c r="J201" s="162">
        <v>502905.26815000002</v>
      </c>
      <c r="K201" s="148">
        <f t="shared" si="113"/>
        <v>45261</v>
      </c>
      <c r="L201" s="40">
        <f t="shared" si="114"/>
        <v>45261</v>
      </c>
      <c r="M201" s="40">
        <f t="shared" si="115"/>
        <v>0</v>
      </c>
      <c r="N201" s="41">
        <f t="shared" si="116"/>
        <v>593427.26815000002</v>
      </c>
      <c r="O201" s="21">
        <f t="shared" ref="O201:O206" si="122">N201-Q201</f>
        <v>1257.263170375023</v>
      </c>
      <c r="P201" s="349">
        <f t="shared" si="121"/>
        <v>2.5000000000000456E-3</v>
      </c>
      <c r="Q201" s="23">
        <f>(N201)-(J201*0.25%)</f>
        <v>592170.004979625</v>
      </c>
      <c r="R201" s="67">
        <v>45905</v>
      </c>
      <c r="S201" s="6" t="s">
        <v>74</v>
      </c>
      <c r="T201" s="10" t="s">
        <v>322</v>
      </c>
      <c r="U201" s="66"/>
      <c r="V201" s="8"/>
    </row>
    <row r="202" spans="1:22" ht="30" customHeight="1" x14ac:dyDescent="0.3">
      <c r="A202" s="19">
        <f t="shared" si="91"/>
        <v>201</v>
      </c>
      <c r="B202" s="304" t="s">
        <v>619</v>
      </c>
      <c r="C202" s="46">
        <v>45898</v>
      </c>
      <c r="D202" s="146" t="s">
        <v>288</v>
      </c>
      <c r="E202" s="295" t="s">
        <v>595</v>
      </c>
      <c r="F202" s="146" t="s">
        <v>289</v>
      </c>
      <c r="G202" s="147">
        <v>36</v>
      </c>
      <c r="H202" s="8" t="s">
        <v>287</v>
      </c>
      <c r="I202" s="24" t="s">
        <v>599</v>
      </c>
      <c r="J202" s="162">
        <v>142947</v>
      </c>
      <c r="K202" s="148">
        <f t="shared" si="113"/>
        <v>12865</v>
      </c>
      <c r="L202" s="40">
        <f t="shared" si="114"/>
        <v>12865</v>
      </c>
      <c r="M202" s="40">
        <f t="shared" si="115"/>
        <v>0</v>
      </c>
      <c r="N202" s="41">
        <f t="shared" si="116"/>
        <v>168677</v>
      </c>
      <c r="O202" s="21">
        <f t="shared" si="122"/>
        <v>357.36749999999302</v>
      </c>
      <c r="P202" s="349">
        <f t="shared" si="121"/>
        <v>2.499999999999951E-3</v>
      </c>
      <c r="Q202" s="23">
        <f>(N202)-(J202*0.25%)</f>
        <v>168319.63250000001</v>
      </c>
      <c r="R202" s="67">
        <v>45905</v>
      </c>
      <c r="S202" s="6" t="s">
        <v>74</v>
      </c>
      <c r="T202" s="10" t="s">
        <v>322</v>
      </c>
      <c r="U202" s="66"/>
      <c r="V202" s="8"/>
    </row>
    <row r="203" spans="1:22" ht="30" customHeight="1" x14ac:dyDescent="0.3">
      <c r="A203" s="19">
        <f t="shared" si="91"/>
        <v>202</v>
      </c>
      <c r="B203" s="304" t="s">
        <v>619</v>
      </c>
      <c r="C203" s="46">
        <v>45898</v>
      </c>
      <c r="D203" s="146" t="s">
        <v>288</v>
      </c>
      <c r="E203" s="296" t="s">
        <v>596</v>
      </c>
      <c r="F203" s="146" t="s">
        <v>289</v>
      </c>
      <c r="G203" s="147">
        <v>36</v>
      </c>
      <c r="H203" s="8" t="s">
        <v>287</v>
      </c>
      <c r="I203" s="24" t="s">
        <v>598</v>
      </c>
      <c r="J203" s="162">
        <v>19438.315725</v>
      </c>
      <c r="K203" s="148">
        <f t="shared" si="113"/>
        <v>1749</v>
      </c>
      <c r="L203" s="40">
        <f t="shared" si="114"/>
        <v>1749</v>
      </c>
      <c r="M203" s="40">
        <f t="shared" si="115"/>
        <v>0</v>
      </c>
      <c r="N203" s="41">
        <f t="shared" si="116"/>
        <v>22936.315725</v>
      </c>
      <c r="O203" s="21">
        <f t="shared" si="122"/>
        <v>48.595789312501438</v>
      </c>
      <c r="P203" s="349">
        <f t="shared" si="121"/>
        <v>2.5000000000000738E-3</v>
      </c>
      <c r="Q203" s="23">
        <f>(N203)-(J203*0.25%)</f>
        <v>22887.719935687499</v>
      </c>
      <c r="R203" s="67">
        <v>45905</v>
      </c>
      <c r="S203" s="6" t="s">
        <v>74</v>
      </c>
      <c r="T203" s="10" t="s">
        <v>322</v>
      </c>
      <c r="U203" s="66"/>
      <c r="V203" s="8"/>
    </row>
    <row r="204" spans="1:22" ht="30" customHeight="1" x14ac:dyDescent="0.3">
      <c r="A204" s="19">
        <f t="shared" si="91"/>
        <v>203</v>
      </c>
      <c r="B204" s="304" t="s">
        <v>619</v>
      </c>
      <c r="C204" s="46">
        <v>45874</v>
      </c>
      <c r="D204" s="46" t="s">
        <v>33</v>
      </c>
      <c r="E204" s="312" t="s">
        <v>571</v>
      </c>
      <c r="F204" s="260" t="s">
        <v>34</v>
      </c>
      <c r="G204" s="261">
        <v>36</v>
      </c>
      <c r="H204" s="8" t="s">
        <v>55</v>
      </c>
      <c r="I204" s="24" t="s">
        <v>572</v>
      </c>
      <c r="J204" s="45">
        <v>20012</v>
      </c>
      <c r="K204" s="43">
        <f t="shared" si="113"/>
        <v>1801</v>
      </c>
      <c r="L204" s="40">
        <f t="shared" si="114"/>
        <v>1801</v>
      </c>
      <c r="M204" s="40">
        <f t="shared" si="115"/>
        <v>0</v>
      </c>
      <c r="N204" s="41">
        <f t="shared" si="116"/>
        <v>23614</v>
      </c>
      <c r="O204" s="21">
        <f t="shared" si="122"/>
        <v>50</v>
      </c>
      <c r="P204" s="349">
        <f t="shared" si="121"/>
        <v>2.4985008994603238E-3</v>
      </c>
      <c r="Q204" s="23">
        <v>23564</v>
      </c>
      <c r="R204" s="67">
        <v>45912</v>
      </c>
      <c r="S204" s="6" t="s">
        <v>74</v>
      </c>
      <c r="T204" s="10" t="s">
        <v>124</v>
      </c>
      <c r="U204" s="66"/>
      <c r="V204" s="8"/>
    </row>
    <row r="205" spans="1:22" ht="30" customHeight="1" x14ac:dyDescent="0.3">
      <c r="A205" s="19">
        <f t="shared" si="91"/>
        <v>204</v>
      </c>
      <c r="B205" s="304" t="s">
        <v>619</v>
      </c>
      <c r="C205" s="46">
        <v>45902</v>
      </c>
      <c r="D205" s="164" t="s">
        <v>70</v>
      </c>
      <c r="E205" s="312" t="s">
        <v>603</v>
      </c>
      <c r="F205" s="260" t="s">
        <v>134</v>
      </c>
      <c r="G205" s="261">
        <v>10</v>
      </c>
      <c r="H205" s="8" t="s">
        <v>39</v>
      </c>
      <c r="I205" s="24" t="s">
        <v>604</v>
      </c>
      <c r="J205" s="45">
        <v>60709</v>
      </c>
      <c r="K205" s="166">
        <f t="shared" si="113"/>
        <v>0</v>
      </c>
      <c r="L205" s="40">
        <f t="shared" si="114"/>
        <v>0</v>
      </c>
      <c r="M205" s="40">
        <f t="shared" si="115"/>
        <v>10928</v>
      </c>
      <c r="N205" s="41">
        <f t="shared" si="116"/>
        <v>71637</v>
      </c>
      <c r="O205" s="21">
        <f t="shared" si="122"/>
        <v>1214.3800000000047</v>
      </c>
      <c r="P205" s="349">
        <f t="shared" si="121"/>
        <v>2.000329440445411E-2</v>
      </c>
      <c r="Q205" s="23">
        <v>70422.62</v>
      </c>
      <c r="R205" s="67">
        <v>45912</v>
      </c>
      <c r="S205" s="6" t="s">
        <v>74</v>
      </c>
      <c r="T205" s="10" t="s">
        <v>136</v>
      </c>
      <c r="U205" s="66"/>
      <c r="V205" s="8"/>
    </row>
    <row r="206" spans="1:22" ht="30" customHeight="1" x14ac:dyDescent="0.3">
      <c r="A206" s="19">
        <f t="shared" si="91"/>
        <v>205</v>
      </c>
      <c r="B206" s="304" t="s">
        <v>619</v>
      </c>
      <c r="C206" s="46">
        <v>45902</v>
      </c>
      <c r="D206" s="164" t="s">
        <v>70</v>
      </c>
      <c r="E206" s="299" t="s">
        <v>602</v>
      </c>
      <c r="F206" s="260" t="s">
        <v>134</v>
      </c>
      <c r="G206" s="261">
        <v>10</v>
      </c>
      <c r="H206" s="8" t="s">
        <v>39</v>
      </c>
      <c r="I206" s="24" t="s">
        <v>604</v>
      </c>
      <c r="J206" s="45">
        <v>39001</v>
      </c>
      <c r="K206" s="166">
        <f t="shared" si="113"/>
        <v>0</v>
      </c>
      <c r="L206" s="40">
        <f t="shared" si="114"/>
        <v>0</v>
      </c>
      <c r="M206" s="40">
        <f t="shared" si="115"/>
        <v>7020</v>
      </c>
      <c r="N206" s="41">
        <f t="shared" si="116"/>
        <v>46021</v>
      </c>
      <c r="O206" s="21">
        <f t="shared" si="122"/>
        <v>781</v>
      </c>
      <c r="P206" s="349">
        <f t="shared" ref="P206:P214" si="123">O206/J206</f>
        <v>2.0025127560831774E-2</v>
      </c>
      <c r="Q206" s="23">
        <v>45240</v>
      </c>
      <c r="R206" s="67">
        <v>45916</v>
      </c>
      <c r="S206" s="6" t="s">
        <v>74</v>
      </c>
      <c r="T206" s="10" t="s">
        <v>136</v>
      </c>
      <c r="U206" s="66"/>
      <c r="V206" s="8"/>
    </row>
    <row r="207" spans="1:22" ht="30" customHeight="1" x14ac:dyDescent="0.3">
      <c r="A207" s="19">
        <f t="shared" si="91"/>
        <v>206</v>
      </c>
      <c r="B207" s="304" t="s">
        <v>619</v>
      </c>
      <c r="C207" s="46">
        <v>45887</v>
      </c>
      <c r="D207" s="130" t="s">
        <v>129</v>
      </c>
      <c r="E207" s="294" t="s">
        <v>587</v>
      </c>
      <c r="F207" s="130" t="s">
        <v>146</v>
      </c>
      <c r="G207" s="131">
        <v>36</v>
      </c>
      <c r="H207" s="8" t="s">
        <v>52</v>
      </c>
      <c r="I207" s="24" t="s">
        <v>589</v>
      </c>
      <c r="J207" s="45">
        <f>89*200</f>
        <v>17800</v>
      </c>
      <c r="K207" s="132">
        <f t="shared" si="113"/>
        <v>1602</v>
      </c>
      <c r="L207" s="40">
        <f t="shared" si="114"/>
        <v>1602</v>
      </c>
      <c r="M207" s="40">
        <f t="shared" si="115"/>
        <v>0</v>
      </c>
      <c r="N207" s="41">
        <f t="shared" si="116"/>
        <v>21004</v>
      </c>
      <c r="O207" s="21">
        <f>N207-Q207</f>
        <v>1780</v>
      </c>
      <c r="P207" s="349">
        <f>O207/J207</f>
        <v>0.1</v>
      </c>
      <c r="Q207" s="23">
        <v>19224</v>
      </c>
      <c r="R207" s="67">
        <v>45918</v>
      </c>
      <c r="S207" s="6" t="s">
        <v>74</v>
      </c>
      <c r="T207" s="10" t="s">
        <v>147</v>
      </c>
      <c r="U207" s="66"/>
      <c r="V207" s="8"/>
    </row>
    <row r="208" spans="1:22" ht="30" customHeight="1" x14ac:dyDescent="0.3">
      <c r="A208" s="19">
        <f t="shared" si="91"/>
        <v>207</v>
      </c>
      <c r="B208" s="304" t="s">
        <v>619</v>
      </c>
      <c r="C208" s="46">
        <v>45887</v>
      </c>
      <c r="D208" s="130" t="s">
        <v>129</v>
      </c>
      <c r="E208" s="312" t="s">
        <v>588</v>
      </c>
      <c r="F208" s="130" t="s">
        <v>131</v>
      </c>
      <c r="G208" s="131">
        <v>36</v>
      </c>
      <c r="H208" s="8" t="s">
        <v>51</v>
      </c>
      <c r="I208" s="24" t="s">
        <v>589</v>
      </c>
      <c r="J208" s="45">
        <f>4*200</f>
        <v>800</v>
      </c>
      <c r="K208" s="132">
        <f t="shared" si="113"/>
        <v>72</v>
      </c>
      <c r="L208" s="40">
        <f t="shared" si="114"/>
        <v>72</v>
      </c>
      <c r="M208" s="40">
        <f t="shared" si="115"/>
        <v>0</v>
      </c>
      <c r="N208" s="41">
        <f t="shared" si="116"/>
        <v>944</v>
      </c>
      <c r="O208" s="21">
        <f>N208-Q208</f>
        <v>80</v>
      </c>
      <c r="P208" s="349">
        <f>O208/J208</f>
        <v>0.1</v>
      </c>
      <c r="Q208" s="23">
        <v>864</v>
      </c>
      <c r="R208" s="67">
        <v>45918</v>
      </c>
      <c r="S208" s="6" t="s">
        <v>74</v>
      </c>
      <c r="T208" s="10" t="s">
        <v>147</v>
      </c>
      <c r="U208" s="66"/>
      <c r="V208" s="8"/>
    </row>
    <row r="209" spans="1:22" ht="30" customHeight="1" x14ac:dyDescent="0.3">
      <c r="A209" s="19">
        <f t="shared" si="91"/>
        <v>208</v>
      </c>
      <c r="B209" s="304" t="s">
        <v>619</v>
      </c>
      <c r="C209" s="46">
        <v>45895</v>
      </c>
      <c r="D209" s="75" t="s">
        <v>70</v>
      </c>
      <c r="E209" s="312" t="s">
        <v>592</v>
      </c>
      <c r="F209" s="260" t="s">
        <v>126</v>
      </c>
      <c r="G209" s="261">
        <v>24</v>
      </c>
      <c r="H209" s="8" t="s">
        <v>125</v>
      </c>
      <c r="I209" s="24" t="s">
        <v>593</v>
      </c>
      <c r="J209" s="45">
        <v>28200</v>
      </c>
      <c r="K209" s="132">
        <f t="shared" si="113"/>
        <v>0</v>
      </c>
      <c r="L209" s="40">
        <f t="shared" si="114"/>
        <v>0</v>
      </c>
      <c r="M209" s="40">
        <f t="shared" si="115"/>
        <v>5076</v>
      </c>
      <c r="N209" s="41">
        <f t="shared" si="116"/>
        <v>33276</v>
      </c>
      <c r="O209" s="21">
        <f t="shared" ref="O209:O214" si="124">N209-Q209</f>
        <v>71</v>
      </c>
      <c r="P209" s="349">
        <f t="shared" si="123"/>
        <v>2.5177304964539007E-3</v>
      </c>
      <c r="Q209" s="23">
        <v>33205</v>
      </c>
      <c r="R209" s="67">
        <v>45918</v>
      </c>
      <c r="S209" s="6" t="s">
        <v>74</v>
      </c>
      <c r="T209" s="10" t="s">
        <v>569</v>
      </c>
      <c r="U209" s="66">
        <f t="shared" si="105"/>
        <v>0</v>
      </c>
      <c r="V209" s="8"/>
    </row>
    <row r="210" spans="1:22" ht="30" customHeight="1" x14ac:dyDescent="0.3">
      <c r="A210" s="19">
        <f t="shared" si="91"/>
        <v>209</v>
      </c>
      <c r="B210" s="304" t="s">
        <v>619</v>
      </c>
      <c r="C210" s="46">
        <v>45874</v>
      </c>
      <c r="D210" s="46" t="s">
        <v>33</v>
      </c>
      <c r="E210" s="312" t="s">
        <v>570</v>
      </c>
      <c r="F210" s="260" t="s">
        <v>34</v>
      </c>
      <c r="G210" s="261">
        <v>36</v>
      </c>
      <c r="H210" s="8" t="s">
        <v>55</v>
      </c>
      <c r="I210" s="24" t="s">
        <v>573</v>
      </c>
      <c r="J210" s="45">
        <f>(72050*24)+(53350*1)+(99751*8)</f>
        <v>2580558</v>
      </c>
      <c r="K210" s="43">
        <f t="shared" si="113"/>
        <v>232250</v>
      </c>
      <c r="L210" s="40">
        <f t="shared" si="114"/>
        <v>232250</v>
      </c>
      <c r="M210" s="40">
        <f t="shared" si="115"/>
        <v>0</v>
      </c>
      <c r="N210" s="41">
        <f t="shared" si="116"/>
        <v>3045058</v>
      </c>
      <c r="O210" s="21">
        <f t="shared" si="124"/>
        <v>6449</v>
      </c>
      <c r="P210" s="349">
        <f t="shared" si="123"/>
        <v>2.4990719061536303E-3</v>
      </c>
      <c r="Q210" s="23">
        <v>3038609</v>
      </c>
      <c r="R210" s="67">
        <v>45919</v>
      </c>
      <c r="S210" s="6" t="s">
        <v>74</v>
      </c>
      <c r="T210" s="10" t="s">
        <v>124</v>
      </c>
      <c r="U210" s="66"/>
      <c r="V210" s="8"/>
    </row>
    <row r="211" spans="1:22" ht="30" customHeight="1" x14ac:dyDescent="0.3">
      <c r="A211" s="19">
        <f t="shared" si="91"/>
        <v>210</v>
      </c>
      <c r="B211" s="304" t="s">
        <v>619</v>
      </c>
      <c r="C211" s="46">
        <v>45905</v>
      </c>
      <c r="D211" s="167" t="s">
        <v>70</v>
      </c>
      <c r="E211" s="312" t="s">
        <v>613</v>
      </c>
      <c r="F211" s="260" t="s">
        <v>138</v>
      </c>
      <c r="G211" s="261">
        <v>36</v>
      </c>
      <c r="H211" s="8" t="s">
        <v>49</v>
      </c>
      <c r="I211" s="24" t="s">
        <v>614</v>
      </c>
      <c r="J211" s="45">
        <v>21037927</v>
      </c>
      <c r="K211" s="169">
        <f t="shared" si="113"/>
        <v>1893413</v>
      </c>
      <c r="L211" s="40">
        <f t="shared" si="114"/>
        <v>1893413</v>
      </c>
      <c r="M211" s="40">
        <f t="shared" si="115"/>
        <v>0</v>
      </c>
      <c r="N211" s="41">
        <f t="shared" si="116"/>
        <v>24824753</v>
      </c>
      <c r="O211" s="21">
        <f t="shared" si="124"/>
        <v>52594.140000000596</v>
      </c>
      <c r="P211" s="349">
        <f t="shared" si="123"/>
        <v>2.4999677962567603E-3</v>
      </c>
      <c r="Q211" s="23">
        <v>24772158.859999999</v>
      </c>
      <c r="R211" s="67">
        <v>45926</v>
      </c>
      <c r="S211" s="6" t="s">
        <v>74</v>
      </c>
      <c r="T211" s="10" t="s">
        <v>96</v>
      </c>
      <c r="U211" s="66"/>
      <c r="V211" s="8"/>
    </row>
    <row r="212" spans="1:22" ht="30" customHeight="1" x14ac:dyDescent="0.3">
      <c r="A212" s="19">
        <f t="shared" si="91"/>
        <v>211</v>
      </c>
      <c r="B212" s="304" t="s">
        <v>619</v>
      </c>
      <c r="C212" s="46">
        <v>45905</v>
      </c>
      <c r="D212" s="167" t="s">
        <v>70</v>
      </c>
      <c r="E212" s="294" t="s">
        <v>597</v>
      </c>
      <c r="F212" s="260" t="s">
        <v>138</v>
      </c>
      <c r="G212" s="261">
        <v>36</v>
      </c>
      <c r="H212" s="8" t="s">
        <v>49</v>
      </c>
      <c r="I212" s="24" t="s">
        <v>615</v>
      </c>
      <c r="J212" s="45">
        <v>582489</v>
      </c>
      <c r="K212" s="169">
        <f t="shared" si="113"/>
        <v>52424</v>
      </c>
      <c r="L212" s="40">
        <f t="shared" si="114"/>
        <v>52424</v>
      </c>
      <c r="M212" s="40">
        <f t="shared" si="115"/>
        <v>0</v>
      </c>
      <c r="N212" s="41">
        <f t="shared" si="116"/>
        <v>687337</v>
      </c>
      <c r="O212" s="21">
        <f t="shared" si="124"/>
        <v>1455.9799999999814</v>
      </c>
      <c r="P212" s="349">
        <f t="shared" si="123"/>
        <v>2.4995836831253147E-3</v>
      </c>
      <c r="Q212" s="23">
        <v>685881.02</v>
      </c>
      <c r="R212" s="67">
        <v>45926</v>
      </c>
      <c r="S212" s="6" t="s">
        <v>74</v>
      </c>
      <c r="T212" s="10" t="s">
        <v>96</v>
      </c>
      <c r="U212" s="66"/>
      <c r="V212" s="8"/>
    </row>
    <row r="213" spans="1:22" ht="30" customHeight="1" x14ac:dyDescent="0.3">
      <c r="A213" s="19">
        <f t="shared" si="91"/>
        <v>212</v>
      </c>
      <c r="B213" s="304" t="s">
        <v>619</v>
      </c>
      <c r="C213" s="46">
        <v>45905</v>
      </c>
      <c r="D213" s="167" t="s">
        <v>70</v>
      </c>
      <c r="E213" s="297" t="s">
        <v>600</v>
      </c>
      <c r="F213" s="260" t="s">
        <v>138</v>
      </c>
      <c r="G213" s="261">
        <v>36</v>
      </c>
      <c r="H213" s="8" t="s">
        <v>49</v>
      </c>
      <c r="I213" s="24" t="s">
        <v>617</v>
      </c>
      <c r="J213" s="45">
        <v>486576</v>
      </c>
      <c r="K213" s="169">
        <f t="shared" si="113"/>
        <v>43792</v>
      </c>
      <c r="L213" s="40">
        <f t="shared" si="114"/>
        <v>43792</v>
      </c>
      <c r="M213" s="40">
        <f t="shared" si="115"/>
        <v>0</v>
      </c>
      <c r="N213" s="41">
        <f t="shared" si="116"/>
        <v>574160</v>
      </c>
      <c r="O213" s="21">
        <f t="shared" si="124"/>
        <v>1216.3199999999488</v>
      </c>
      <c r="P213" s="349">
        <f t="shared" si="123"/>
        <v>2.4997533787115452E-3</v>
      </c>
      <c r="Q213" s="23">
        <v>572943.68000000005</v>
      </c>
      <c r="R213" s="67">
        <v>45926</v>
      </c>
      <c r="S213" s="6" t="s">
        <v>74</v>
      </c>
      <c r="T213" s="10" t="s">
        <v>96</v>
      </c>
      <c r="U213" s="66"/>
      <c r="V213" s="8"/>
    </row>
    <row r="214" spans="1:22" ht="30" customHeight="1" x14ac:dyDescent="0.3">
      <c r="A214" s="19">
        <f t="shared" ref="A214:A277" si="125">A213+1</f>
        <v>213</v>
      </c>
      <c r="B214" s="304" t="s">
        <v>619</v>
      </c>
      <c r="C214" s="46">
        <v>45905</v>
      </c>
      <c r="D214" s="167" t="s">
        <v>70</v>
      </c>
      <c r="E214" s="303" t="s">
        <v>616</v>
      </c>
      <c r="F214" s="260" t="s">
        <v>138</v>
      </c>
      <c r="G214" s="261">
        <v>36</v>
      </c>
      <c r="H214" s="8" t="s">
        <v>49</v>
      </c>
      <c r="I214" s="24" t="s">
        <v>618</v>
      </c>
      <c r="J214" s="45">
        <v>45563</v>
      </c>
      <c r="K214" s="169">
        <f t="shared" si="113"/>
        <v>4101</v>
      </c>
      <c r="L214" s="40">
        <f t="shared" si="114"/>
        <v>4101</v>
      </c>
      <c r="M214" s="40">
        <f t="shared" si="115"/>
        <v>0</v>
      </c>
      <c r="N214" s="41">
        <f t="shared" si="116"/>
        <v>53765</v>
      </c>
      <c r="O214" s="21">
        <f t="shared" si="124"/>
        <v>114.66000000000349</v>
      </c>
      <c r="P214" s="349">
        <f t="shared" si="123"/>
        <v>2.5165155937932862E-3</v>
      </c>
      <c r="Q214" s="23">
        <v>53650.34</v>
      </c>
      <c r="R214" s="67">
        <v>45926</v>
      </c>
      <c r="S214" s="6" t="s">
        <v>74</v>
      </c>
      <c r="T214" s="10" t="s">
        <v>96</v>
      </c>
      <c r="U214" s="66"/>
      <c r="V214" s="8"/>
    </row>
    <row r="215" spans="1:22" ht="30" customHeight="1" x14ac:dyDescent="0.3">
      <c r="A215" s="19">
        <f t="shared" si="125"/>
        <v>214</v>
      </c>
      <c r="B215" s="304" t="s">
        <v>619</v>
      </c>
      <c r="C215" s="46">
        <v>45873</v>
      </c>
      <c r="D215" s="123" t="s">
        <v>70</v>
      </c>
      <c r="E215" s="312" t="s">
        <v>556</v>
      </c>
      <c r="F215" s="260" t="s">
        <v>142</v>
      </c>
      <c r="G215" s="261">
        <v>24</v>
      </c>
      <c r="H215" s="8" t="s">
        <v>46</v>
      </c>
      <c r="I215" s="24" t="s">
        <v>557</v>
      </c>
      <c r="J215" s="45">
        <v>196400</v>
      </c>
      <c r="K215" s="125">
        <f t="shared" si="113"/>
        <v>0</v>
      </c>
      <c r="L215" s="40">
        <f t="shared" si="114"/>
        <v>0</v>
      </c>
      <c r="M215" s="40">
        <f t="shared" si="115"/>
        <v>35352</v>
      </c>
      <c r="N215" s="41">
        <f t="shared" si="116"/>
        <v>231752</v>
      </c>
      <c r="O215" s="21">
        <f t="shared" ref="O215:O223" si="126">N215-Q215</f>
        <v>3928</v>
      </c>
      <c r="P215" s="349">
        <f t="shared" ref="P215:P223" si="127">O215/J215</f>
        <v>0.02</v>
      </c>
      <c r="Q215" s="23">
        <v>227824</v>
      </c>
      <c r="R215" s="67">
        <v>45926</v>
      </c>
      <c r="S215" s="6" t="s">
        <v>74</v>
      </c>
      <c r="T215" s="10" t="s">
        <v>96</v>
      </c>
      <c r="U215" s="66"/>
      <c r="V215" s="8"/>
    </row>
    <row r="216" spans="1:22" ht="30" customHeight="1" x14ac:dyDescent="0.3">
      <c r="A216" s="19">
        <f t="shared" si="125"/>
        <v>215</v>
      </c>
      <c r="B216" s="311" t="s">
        <v>657</v>
      </c>
      <c r="C216" s="46">
        <v>45925</v>
      </c>
      <c r="D216" s="75" t="s">
        <v>70</v>
      </c>
      <c r="E216" s="312" t="s">
        <v>632</v>
      </c>
      <c r="F216" s="260" t="s">
        <v>126</v>
      </c>
      <c r="G216" s="261">
        <v>24</v>
      </c>
      <c r="H216" s="8" t="s">
        <v>125</v>
      </c>
      <c r="I216" s="24" t="s">
        <v>634</v>
      </c>
      <c r="J216" s="45">
        <f>11936792-20000</f>
        <v>11916792</v>
      </c>
      <c r="K216" s="43">
        <f t="shared" si="113"/>
        <v>0</v>
      </c>
      <c r="L216" s="40">
        <f t="shared" si="114"/>
        <v>0</v>
      </c>
      <c r="M216" s="40">
        <f t="shared" si="115"/>
        <v>2145023</v>
      </c>
      <c r="N216" s="41">
        <f t="shared" si="116"/>
        <v>14061815</v>
      </c>
      <c r="O216" s="21">
        <f t="shared" si="126"/>
        <v>29792.439999999478</v>
      </c>
      <c r="P216" s="349">
        <f t="shared" si="127"/>
        <v>2.5000386009925725E-3</v>
      </c>
      <c r="Q216" s="23">
        <f>14032022.56</f>
        <v>14032022.560000001</v>
      </c>
      <c r="R216" s="67">
        <v>45931</v>
      </c>
      <c r="S216" s="6" t="s">
        <v>74</v>
      </c>
      <c r="T216" s="10" t="s">
        <v>569</v>
      </c>
      <c r="U216" s="66"/>
      <c r="V216" s="8"/>
    </row>
    <row r="217" spans="1:22" ht="30" customHeight="1" x14ac:dyDescent="0.3">
      <c r="A217" s="19">
        <f t="shared" si="125"/>
        <v>216</v>
      </c>
      <c r="B217" s="311" t="s">
        <v>657</v>
      </c>
      <c r="C217" s="46">
        <v>45902</v>
      </c>
      <c r="D217" s="46" t="s">
        <v>33</v>
      </c>
      <c r="E217" s="315" t="s">
        <v>611</v>
      </c>
      <c r="F217" s="260" t="s">
        <v>34</v>
      </c>
      <c r="G217" s="261">
        <v>36</v>
      </c>
      <c r="H217" s="8" t="s">
        <v>55</v>
      </c>
      <c r="I217" s="24" t="s">
        <v>612</v>
      </c>
      <c r="J217" s="162">
        <v>99751</v>
      </c>
      <c r="K217" s="148">
        <f t="shared" si="113"/>
        <v>8978</v>
      </c>
      <c r="L217" s="40">
        <f t="shared" si="114"/>
        <v>8978</v>
      </c>
      <c r="M217" s="40">
        <f t="shared" si="115"/>
        <v>0</v>
      </c>
      <c r="N217" s="41">
        <f t="shared" si="116"/>
        <v>117707</v>
      </c>
      <c r="O217" s="21">
        <f t="shared" si="126"/>
        <v>249.37750000000233</v>
      </c>
      <c r="P217" s="349">
        <f t="shared" si="127"/>
        <v>2.5000000000000235E-3</v>
      </c>
      <c r="Q217" s="23">
        <f t="shared" ref="Q217:Q222" si="128">N217-(J217*0.25%)</f>
        <v>117457.6225</v>
      </c>
      <c r="R217" s="67">
        <v>45933</v>
      </c>
      <c r="S217" s="6" t="s">
        <v>74</v>
      </c>
      <c r="T217" s="10" t="s">
        <v>124</v>
      </c>
      <c r="U217" s="66"/>
      <c r="V217" s="8"/>
    </row>
    <row r="218" spans="1:22" ht="30" customHeight="1" x14ac:dyDescent="0.3">
      <c r="A218" s="19">
        <f t="shared" si="125"/>
        <v>217</v>
      </c>
      <c r="B218" s="311" t="s">
        <v>657</v>
      </c>
      <c r="C218" s="46">
        <v>45902</v>
      </c>
      <c r="D218" s="46" t="s">
        <v>33</v>
      </c>
      <c r="E218" s="299" t="s">
        <v>607</v>
      </c>
      <c r="F218" s="260" t="s">
        <v>34</v>
      </c>
      <c r="G218" s="261">
        <v>36</v>
      </c>
      <c r="H218" s="8" t="s">
        <v>55</v>
      </c>
      <c r="I218" s="24" t="s">
        <v>610</v>
      </c>
      <c r="J218" s="45">
        <f>(72050*24)+(53350*1)+(99751*9)</f>
        <v>2680309</v>
      </c>
      <c r="K218" s="43">
        <f t="shared" si="113"/>
        <v>241228</v>
      </c>
      <c r="L218" s="40">
        <f t="shared" si="114"/>
        <v>241228</v>
      </c>
      <c r="M218" s="40">
        <f t="shared" si="115"/>
        <v>0</v>
      </c>
      <c r="N218" s="41">
        <f t="shared" si="116"/>
        <v>3162765</v>
      </c>
      <c r="O218" s="21">
        <f t="shared" si="126"/>
        <v>6700.7724999999627</v>
      </c>
      <c r="P218" s="349">
        <f t="shared" si="127"/>
        <v>2.4999999999999862E-3</v>
      </c>
      <c r="Q218" s="23">
        <f t="shared" si="128"/>
        <v>3156064.2275</v>
      </c>
      <c r="R218" s="67">
        <v>45933</v>
      </c>
      <c r="S218" s="6" t="s">
        <v>74</v>
      </c>
      <c r="T218" s="10" t="s">
        <v>124</v>
      </c>
      <c r="U218" s="66"/>
      <c r="V218" s="8"/>
    </row>
    <row r="219" spans="1:22" ht="30" customHeight="1" x14ac:dyDescent="0.3">
      <c r="A219" s="19">
        <f t="shared" si="125"/>
        <v>218</v>
      </c>
      <c r="B219" s="311" t="s">
        <v>657</v>
      </c>
      <c r="C219" s="46">
        <v>45902</v>
      </c>
      <c r="D219" s="46" t="s">
        <v>33</v>
      </c>
      <c r="E219" s="299" t="s">
        <v>608</v>
      </c>
      <c r="F219" s="260" t="s">
        <v>34</v>
      </c>
      <c r="G219" s="261">
        <v>36</v>
      </c>
      <c r="H219" s="8" t="s">
        <v>55</v>
      </c>
      <c r="I219" s="24" t="s">
        <v>609</v>
      </c>
      <c r="J219" s="45">
        <v>18197</v>
      </c>
      <c r="K219" s="43">
        <f t="shared" si="113"/>
        <v>1638</v>
      </c>
      <c r="L219" s="40">
        <f t="shared" si="114"/>
        <v>1638</v>
      </c>
      <c r="M219" s="40">
        <f t="shared" si="115"/>
        <v>0</v>
      </c>
      <c r="N219" s="41">
        <f t="shared" si="116"/>
        <v>21473</v>
      </c>
      <c r="O219" s="21">
        <f t="shared" si="126"/>
        <v>45.492500000000291</v>
      </c>
      <c r="P219" s="349">
        <f t="shared" si="127"/>
        <v>2.5000000000000161E-3</v>
      </c>
      <c r="Q219" s="23">
        <f t="shared" si="128"/>
        <v>21427.5075</v>
      </c>
      <c r="R219" s="67">
        <v>45933</v>
      </c>
      <c r="S219" s="6" t="s">
        <v>74</v>
      </c>
      <c r="T219" s="10" t="s">
        <v>124</v>
      </c>
      <c r="U219" s="66"/>
      <c r="V219" s="8"/>
    </row>
    <row r="220" spans="1:22" ht="30" customHeight="1" x14ac:dyDescent="0.3">
      <c r="A220" s="19">
        <f t="shared" si="125"/>
        <v>219</v>
      </c>
      <c r="B220" s="311" t="s">
        <v>657</v>
      </c>
      <c r="C220" s="46">
        <v>45930</v>
      </c>
      <c r="D220" s="146" t="s">
        <v>288</v>
      </c>
      <c r="E220" s="318" t="s">
        <v>636</v>
      </c>
      <c r="F220" s="146" t="s">
        <v>289</v>
      </c>
      <c r="G220" s="147">
        <v>36</v>
      </c>
      <c r="H220" s="8" t="s">
        <v>287</v>
      </c>
      <c r="I220" s="24" t="s">
        <v>639</v>
      </c>
      <c r="J220" s="162">
        <v>442637.84</v>
      </c>
      <c r="K220" s="148">
        <f t="shared" si="113"/>
        <v>39837</v>
      </c>
      <c r="L220" s="40">
        <f t="shared" si="114"/>
        <v>39837</v>
      </c>
      <c r="M220" s="40">
        <f t="shared" si="115"/>
        <v>0</v>
      </c>
      <c r="N220" s="41">
        <f t="shared" si="116"/>
        <v>522311.84</v>
      </c>
      <c r="O220" s="21">
        <f t="shared" si="126"/>
        <v>1106.5946000000113</v>
      </c>
      <c r="P220" s="349">
        <f t="shared" si="127"/>
        <v>2.5000000000000252E-3</v>
      </c>
      <c r="Q220" s="23">
        <f t="shared" si="128"/>
        <v>521205.24540000001</v>
      </c>
      <c r="R220" s="67">
        <v>45939</v>
      </c>
      <c r="S220" s="6" t="s">
        <v>74</v>
      </c>
      <c r="T220" s="10" t="s">
        <v>322</v>
      </c>
      <c r="U220" s="66"/>
      <c r="V220" s="8"/>
    </row>
    <row r="221" spans="1:22" ht="30" customHeight="1" x14ac:dyDescent="0.3">
      <c r="A221" s="19">
        <f t="shared" si="125"/>
        <v>220</v>
      </c>
      <c r="B221" s="311" t="s">
        <v>657</v>
      </c>
      <c r="C221" s="46">
        <v>45930</v>
      </c>
      <c r="D221" s="146" t="s">
        <v>288</v>
      </c>
      <c r="E221" s="308" t="s">
        <v>637</v>
      </c>
      <c r="F221" s="146" t="s">
        <v>289</v>
      </c>
      <c r="G221" s="147">
        <v>36</v>
      </c>
      <c r="H221" s="8" t="s">
        <v>287</v>
      </c>
      <c r="I221" s="24" t="s">
        <v>640</v>
      </c>
      <c r="J221" s="162">
        <v>120530.77</v>
      </c>
      <c r="K221" s="148">
        <f t="shared" si="113"/>
        <v>10848</v>
      </c>
      <c r="L221" s="40">
        <f t="shared" si="114"/>
        <v>10848</v>
      </c>
      <c r="M221" s="40">
        <f t="shared" si="115"/>
        <v>0</v>
      </c>
      <c r="N221" s="41">
        <f t="shared" si="116"/>
        <v>142226.77000000002</v>
      </c>
      <c r="O221" s="21">
        <f t="shared" si="126"/>
        <v>301.32692500000121</v>
      </c>
      <c r="P221" s="349">
        <f t="shared" si="127"/>
        <v>2.50000000000001E-3</v>
      </c>
      <c r="Q221" s="23">
        <f t="shared" si="128"/>
        <v>141925.44307500002</v>
      </c>
      <c r="R221" s="67">
        <v>45939</v>
      </c>
      <c r="S221" s="6" t="s">
        <v>74</v>
      </c>
      <c r="T221" s="10" t="s">
        <v>322</v>
      </c>
      <c r="U221" s="66"/>
      <c r="V221" s="8"/>
    </row>
    <row r="222" spans="1:22" ht="30" customHeight="1" x14ac:dyDescent="0.3">
      <c r="A222" s="19">
        <f t="shared" si="125"/>
        <v>221</v>
      </c>
      <c r="B222" s="311" t="s">
        <v>657</v>
      </c>
      <c r="C222" s="46">
        <v>45930</v>
      </c>
      <c r="D222" s="146" t="s">
        <v>288</v>
      </c>
      <c r="E222" s="308" t="s">
        <v>638</v>
      </c>
      <c r="F222" s="146" t="s">
        <v>289</v>
      </c>
      <c r="G222" s="147">
        <v>36</v>
      </c>
      <c r="H222" s="8" t="s">
        <v>287</v>
      </c>
      <c r="I222" s="24" t="s">
        <v>639</v>
      </c>
      <c r="J222" s="162">
        <v>100640.04</v>
      </c>
      <c r="K222" s="148">
        <f t="shared" si="113"/>
        <v>9058</v>
      </c>
      <c r="L222" s="40">
        <f t="shared" si="114"/>
        <v>9058</v>
      </c>
      <c r="M222" s="40">
        <f t="shared" si="115"/>
        <v>0</v>
      </c>
      <c r="N222" s="41">
        <f t="shared" si="116"/>
        <v>118756.04</v>
      </c>
      <c r="O222" s="21">
        <f t="shared" si="126"/>
        <v>251.60009999999602</v>
      </c>
      <c r="P222" s="349">
        <f t="shared" si="127"/>
        <v>2.4999999999999606E-3</v>
      </c>
      <c r="Q222" s="23">
        <f t="shared" si="128"/>
        <v>118504.4399</v>
      </c>
      <c r="R222" s="67">
        <v>45939</v>
      </c>
      <c r="S222" s="6" t="s">
        <v>74</v>
      </c>
      <c r="T222" s="10" t="s">
        <v>322</v>
      </c>
      <c r="U222" s="66"/>
      <c r="V222" s="8"/>
    </row>
    <row r="223" spans="1:22" ht="30" customHeight="1" x14ac:dyDescent="0.3">
      <c r="A223" s="19">
        <f t="shared" si="125"/>
        <v>222</v>
      </c>
      <c r="B223" s="311" t="s">
        <v>657</v>
      </c>
      <c r="C223" s="46">
        <v>45902</v>
      </c>
      <c r="D223" s="123" t="s">
        <v>70</v>
      </c>
      <c r="E223" s="318" t="s">
        <v>605</v>
      </c>
      <c r="F223" s="260" t="s">
        <v>142</v>
      </c>
      <c r="G223" s="261">
        <v>24</v>
      </c>
      <c r="H223" s="8" t="s">
        <v>46</v>
      </c>
      <c r="I223" s="24" t="s">
        <v>606</v>
      </c>
      <c r="J223" s="45">
        <v>176174</v>
      </c>
      <c r="K223" s="125">
        <f t="shared" si="113"/>
        <v>0</v>
      </c>
      <c r="L223" s="40">
        <f t="shared" si="114"/>
        <v>0</v>
      </c>
      <c r="M223" s="40">
        <f t="shared" si="115"/>
        <v>31711</v>
      </c>
      <c r="N223" s="41">
        <f t="shared" si="116"/>
        <v>207885</v>
      </c>
      <c r="O223" s="21">
        <f t="shared" si="126"/>
        <v>3522.679999999993</v>
      </c>
      <c r="P223" s="349">
        <f t="shared" si="127"/>
        <v>1.9995459034817812E-2</v>
      </c>
      <c r="Q223" s="23">
        <v>204362.32</v>
      </c>
      <c r="R223" s="67">
        <v>45939</v>
      </c>
      <c r="S223" s="6" t="s">
        <v>74</v>
      </c>
      <c r="T223" s="10" t="s">
        <v>96</v>
      </c>
      <c r="U223" s="66"/>
      <c r="V223" s="8"/>
    </row>
    <row r="224" spans="1:22" ht="30" customHeight="1" x14ac:dyDescent="0.3">
      <c r="A224" s="19">
        <f t="shared" si="125"/>
        <v>223</v>
      </c>
      <c r="B224" s="311" t="s">
        <v>657</v>
      </c>
      <c r="C224" s="46">
        <v>45931</v>
      </c>
      <c r="D224" s="130" t="s">
        <v>129</v>
      </c>
      <c r="E224" s="310" t="s">
        <v>655</v>
      </c>
      <c r="F224" s="130" t="s">
        <v>131</v>
      </c>
      <c r="G224" s="131">
        <v>36</v>
      </c>
      <c r="H224" s="8" t="s">
        <v>51</v>
      </c>
      <c r="I224" s="24" t="s">
        <v>656</v>
      </c>
      <c r="J224" s="45">
        <f>4*200</f>
        <v>800</v>
      </c>
      <c r="K224" s="132">
        <f t="shared" si="113"/>
        <v>72</v>
      </c>
      <c r="L224" s="40">
        <f t="shared" si="114"/>
        <v>72</v>
      </c>
      <c r="M224" s="40">
        <f t="shared" si="115"/>
        <v>0</v>
      </c>
      <c r="N224" s="41">
        <f t="shared" si="116"/>
        <v>944</v>
      </c>
      <c r="O224" s="21">
        <f>N224-Q224</f>
        <v>80</v>
      </c>
      <c r="P224" s="349">
        <f>O224/J224</f>
        <v>0.1</v>
      </c>
      <c r="Q224" s="23">
        <v>864</v>
      </c>
      <c r="R224" s="67">
        <v>45944</v>
      </c>
      <c r="S224" s="6" t="s">
        <v>74</v>
      </c>
      <c r="T224" s="10" t="s">
        <v>147</v>
      </c>
      <c r="U224" s="66"/>
      <c r="V224" s="8"/>
    </row>
    <row r="225" spans="1:22" ht="30" customHeight="1" x14ac:dyDescent="0.3">
      <c r="A225" s="19">
        <f t="shared" si="125"/>
        <v>224</v>
      </c>
      <c r="B225" s="311" t="s">
        <v>657</v>
      </c>
      <c r="C225" s="46">
        <v>45931</v>
      </c>
      <c r="D225" s="46" t="s">
        <v>33</v>
      </c>
      <c r="E225" s="324" t="s">
        <v>648</v>
      </c>
      <c r="F225" s="260" t="s">
        <v>34</v>
      </c>
      <c r="G225" s="147">
        <v>36</v>
      </c>
      <c r="H225" s="8" t="s">
        <v>55</v>
      </c>
      <c r="I225" s="24" t="s">
        <v>644</v>
      </c>
      <c r="J225" s="162">
        <v>99751</v>
      </c>
      <c r="K225" s="148">
        <f t="shared" si="113"/>
        <v>8978</v>
      </c>
      <c r="L225" s="40">
        <f t="shared" si="114"/>
        <v>8978</v>
      </c>
      <c r="M225" s="40">
        <f t="shared" si="115"/>
        <v>0</v>
      </c>
      <c r="N225" s="41">
        <f t="shared" si="116"/>
        <v>117707</v>
      </c>
      <c r="O225" s="21">
        <f t="shared" ref="O225:O230" si="129">N225-Q225</f>
        <v>249.82000000000698</v>
      </c>
      <c r="P225" s="349">
        <f t="shared" ref="P225:P230" si="130">O225/J225</f>
        <v>2.5044360457539975E-3</v>
      </c>
      <c r="Q225" s="23">
        <v>117457.18</v>
      </c>
      <c r="R225" s="67">
        <v>45945</v>
      </c>
      <c r="S225" s="6" t="s">
        <v>74</v>
      </c>
      <c r="T225" s="10" t="s">
        <v>124</v>
      </c>
      <c r="U225" s="66"/>
      <c r="V225" s="8"/>
    </row>
    <row r="226" spans="1:22" ht="30" customHeight="1" x14ac:dyDescent="0.3">
      <c r="A226" s="19">
        <f t="shared" si="125"/>
        <v>225</v>
      </c>
      <c r="B226" s="311" t="s">
        <v>657</v>
      </c>
      <c r="C226" s="46">
        <v>45925</v>
      </c>
      <c r="D226" s="75" t="s">
        <v>70</v>
      </c>
      <c r="E226" s="324" t="s">
        <v>633</v>
      </c>
      <c r="F226" s="260" t="s">
        <v>126</v>
      </c>
      <c r="G226" s="261">
        <v>24</v>
      </c>
      <c r="H226" s="8" t="s">
        <v>125</v>
      </c>
      <c r="I226" s="24" t="s">
        <v>635</v>
      </c>
      <c r="J226" s="45">
        <v>2200</v>
      </c>
      <c r="K226" s="132">
        <f t="shared" si="113"/>
        <v>0</v>
      </c>
      <c r="L226" s="40">
        <f t="shared" si="114"/>
        <v>0</v>
      </c>
      <c r="M226" s="40">
        <f t="shared" si="115"/>
        <v>396</v>
      </c>
      <c r="N226" s="41">
        <f t="shared" si="116"/>
        <v>2596</v>
      </c>
      <c r="O226" s="21">
        <f t="shared" si="129"/>
        <v>6</v>
      </c>
      <c r="P226" s="349">
        <f t="shared" si="130"/>
        <v>2.7272727272727275E-3</v>
      </c>
      <c r="Q226" s="23">
        <v>2590</v>
      </c>
      <c r="R226" s="67">
        <v>45948</v>
      </c>
      <c r="S226" s="6" t="s">
        <v>74</v>
      </c>
      <c r="T226" s="10" t="s">
        <v>569</v>
      </c>
      <c r="U226" s="66"/>
      <c r="V226" s="8"/>
    </row>
    <row r="227" spans="1:22" ht="30" customHeight="1" x14ac:dyDescent="0.3">
      <c r="A227" s="19">
        <f t="shared" si="125"/>
        <v>226</v>
      </c>
      <c r="B227" s="311" t="s">
        <v>657</v>
      </c>
      <c r="C227" s="46">
        <v>45931</v>
      </c>
      <c r="D227" s="130" t="s">
        <v>129</v>
      </c>
      <c r="E227" s="324" t="s">
        <v>654</v>
      </c>
      <c r="F227" s="130" t="s">
        <v>146</v>
      </c>
      <c r="G227" s="131">
        <v>36</v>
      </c>
      <c r="H227" s="8" t="s">
        <v>52</v>
      </c>
      <c r="I227" s="24" t="s">
        <v>656</v>
      </c>
      <c r="J227" s="45">
        <f>107*200</f>
        <v>21400</v>
      </c>
      <c r="K227" s="132">
        <f t="shared" si="113"/>
        <v>1926</v>
      </c>
      <c r="L227" s="40">
        <f t="shared" si="114"/>
        <v>1926</v>
      </c>
      <c r="M227" s="40">
        <f t="shared" si="115"/>
        <v>0</v>
      </c>
      <c r="N227" s="41">
        <f t="shared" si="116"/>
        <v>25252</v>
      </c>
      <c r="O227" s="21">
        <f t="shared" si="129"/>
        <v>2140</v>
      </c>
      <c r="P227" s="349">
        <f t="shared" si="130"/>
        <v>0.1</v>
      </c>
      <c r="Q227" s="23">
        <v>23112</v>
      </c>
      <c r="R227" s="67">
        <v>45950</v>
      </c>
      <c r="S227" s="6" t="s">
        <v>74</v>
      </c>
      <c r="T227" s="10" t="s">
        <v>147</v>
      </c>
      <c r="U227" s="66"/>
      <c r="V227" s="8"/>
    </row>
    <row r="228" spans="1:22" ht="30" customHeight="1" x14ac:dyDescent="0.3">
      <c r="A228" s="19">
        <f t="shared" si="125"/>
        <v>227</v>
      </c>
      <c r="B228" s="311" t="s">
        <v>657</v>
      </c>
      <c r="C228" s="46">
        <v>45934</v>
      </c>
      <c r="D228" s="123" t="s">
        <v>70</v>
      </c>
      <c r="E228" s="324" t="s">
        <v>660</v>
      </c>
      <c r="F228" s="260" t="s">
        <v>142</v>
      </c>
      <c r="G228" s="261">
        <v>24</v>
      </c>
      <c r="H228" s="8" t="s">
        <v>46</v>
      </c>
      <c r="I228" s="24" t="s">
        <v>662</v>
      </c>
      <c r="J228" s="45">
        <v>115700</v>
      </c>
      <c r="K228" s="125">
        <f t="shared" si="113"/>
        <v>0</v>
      </c>
      <c r="L228" s="40">
        <f t="shared" si="114"/>
        <v>0</v>
      </c>
      <c r="M228" s="40">
        <f t="shared" si="115"/>
        <v>20826</v>
      </c>
      <c r="N228" s="41">
        <f t="shared" si="116"/>
        <v>136526</v>
      </c>
      <c r="O228" s="21">
        <f t="shared" si="129"/>
        <v>2279.8399999999965</v>
      </c>
      <c r="P228" s="349">
        <f t="shared" si="130"/>
        <v>1.9704753673292968E-2</v>
      </c>
      <c r="Q228" s="23">
        <v>134246.16</v>
      </c>
      <c r="R228" s="67">
        <v>45947</v>
      </c>
      <c r="S228" s="6" t="s">
        <v>74</v>
      </c>
      <c r="T228" s="10" t="s">
        <v>686</v>
      </c>
      <c r="U228" s="66"/>
      <c r="V228" s="8"/>
    </row>
    <row r="229" spans="1:22" ht="30" customHeight="1" x14ac:dyDescent="0.3">
      <c r="A229" s="19">
        <f t="shared" si="125"/>
        <v>228</v>
      </c>
      <c r="B229" s="311" t="s">
        <v>657</v>
      </c>
      <c r="C229" s="46">
        <v>45923</v>
      </c>
      <c r="D229" s="46" t="s">
        <v>33</v>
      </c>
      <c r="E229" s="324" t="s">
        <v>628</v>
      </c>
      <c r="F229" s="260" t="s">
        <v>34</v>
      </c>
      <c r="G229" s="261">
        <v>36</v>
      </c>
      <c r="H229" s="8" t="s">
        <v>55</v>
      </c>
      <c r="I229" s="24" t="s">
        <v>630</v>
      </c>
      <c r="J229" s="162">
        <v>89000</v>
      </c>
      <c r="K229" s="148">
        <f t="shared" si="113"/>
        <v>8010</v>
      </c>
      <c r="L229" s="40">
        <f t="shared" si="114"/>
        <v>8010</v>
      </c>
      <c r="M229" s="40">
        <f t="shared" si="115"/>
        <v>0</v>
      </c>
      <c r="N229" s="41">
        <f t="shared" si="116"/>
        <v>105020</v>
      </c>
      <c r="O229" s="21">
        <f t="shared" si="129"/>
        <v>222.5</v>
      </c>
      <c r="P229" s="349">
        <f t="shared" si="130"/>
        <v>2.5000000000000001E-3</v>
      </c>
      <c r="Q229" s="23">
        <f>N229-(J229*0.25%)</f>
        <v>104797.5</v>
      </c>
      <c r="R229" s="67">
        <v>45953</v>
      </c>
      <c r="S229" s="6" t="s">
        <v>74</v>
      </c>
      <c r="T229" s="10" t="s">
        <v>124</v>
      </c>
      <c r="U229" s="66"/>
      <c r="V229" s="8"/>
    </row>
    <row r="230" spans="1:22" ht="30" customHeight="1" x14ac:dyDescent="0.3">
      <c r="A230" s="19">
        <f t="shared" si="125"/>
        <v>229</v>
      </c>
      <c r="B230" s="311" t="s">
        <v>657</v>
      </c>
      <c r="C230" s="46">
        <v>45923</v>
      </c>
      <c r="D230" s="46" t="s">
        <v>33</v>
      </c>
      <c r="E230" s="321" t="s">
        <v>629</v>
      </c>
      <c r="F230" s="260" t="s">
        <v>34</v>
      </c>
      <c r="G230" s="261">
        <v>36</v>
      </c>
      <c r="H230" s="8" t="s">
        <v>55</v>
      </c>
      <c r="I230" s="24" t="s">
        <v>631</v>
      </c>
      <c r="J230" s="162">
        <v>89000</v>
      </c>
      <c r="K230" s="148">
        <f t="shared" si="113"/>
        <v>8010</v>
      </c>
      <c r="L230" s="40">
        <f t="shared" si="114"/>
        <v>8010</v>
      </c>
      <c r="M230" s="40">
        <f t="shared" si="115"/>
        <v>0</v>
      </c>
      <c r="N230" s="41">
        <f t="shared" si="116"/>
        <v>105020</v>
      </c>
      <c r="O230" s="21">
        <f t="shared" si="129"/>
        <v>222.5</v>
      </c>
      <c r="P230" s="349">
        <f t="shared" si="130"/>
        <v>2.5000000000000001E-3</v>
      </c>
      <c r="Q230" s="23">
        <f>N230-(J230*0.25%)</f>
        <v>104797.5</v>
      </c>
      <c r="R230" s="67">
        <v>45953</v>
      </c>
      <c r="S230" s="6" t="s">
        <v>74</v>
      </c>
      <c r="T230" s="10" t="s">
        <v>124</v>
      </c>
      <c r="U230" s="66"/>
      <c r="V230" s="8"/>
    </row>
    <row r="231" spans="1:22" ht="30" customHeight="1" x14ac:dyDescent="0.3">
      <c r="A231" s="19">
        <f t="shared" si="125"/>
        <v>230</v>
      </c>
      <c r="B231" s="311" t="s">
        <v>657</v>
      </c>
      <c r="C231" s="46">
        <v>45931</v>
      </c>
      <c r="D231" s="46" t="s">
        <v>33</v>
      </c>
      <c r="E231" s="326" t="s">
        <v>646</v>
      </c>
      <c r="F231" s="260" t="s">
        <v>34</v>
      </c>
      <c r="G231" s="147">
        <v>36</v>
      </c>
      <c r="H231" s="8" t="s">
        <v>55</v>
      </c>
      <c r="I231" s="24" t="s">
        <v>642</v>
      </c>
      <c r="J231" s="45">
        <f>(72050*25)+(53350*1)+(99751*9)</f>
        <v>2752359</v>
      </c>
      <c r="K231" s="148">
        <f t="shared" si="113"/>
        <v>247712</v>
      </c>
      <c r="L231" s="40">
        <f t="shared" si="114"/>
        <v>247712</v>
      </c>
      <c r="M231" s="40">
        <f t="shared" si="115"/>
        <v>0</v>
      </c>
      <c r="N231" s="41">
        <f t="shared" si="116"/>
        <v>3247783</v>
      </c>
      <c r="O231" s="21">
        <f t="shared" ref="O231:O239" si="131">N231-Q231</f>
        <v>6880.8974999999627</v>
      </c>
      <c r="P231" s="349">
        <f t="shared" ref="P231:P239" si="132">O231/J231</f>
        <v>2.4999999999999866E-3</v>
      </c>
      <c r="Q231" s="23">
        <f>N231-(J231*0.25%)</f>
        <v>3240902.1025</v>
      </c>
      <c r="R231" s="67">
        <v>45959</v>
      </c>
      <c r="S231" s="6" t="s">
        <v>74</v>
      </c>
      <c r="T231" s="10" t="s">
        <v>124</v>
      </c>
      <c r="U231" s="66"/>
      <c r="V231" s="8"/>
    </row>
    <row r="232" spans="1:22" ht="30" customHeight="1" x14ac:dyDescent="0.3">
      <c r="A232" s="19">
        <f t="shared" si="125"/>
        <v>231</v>
      </c>
      <c r="B232" s="311" t="s">
        <v>657</v>
      </c>
      <c r="C232" s="46">
        <v>45931</v>
      </c>
      <c r="D232" s="46" t="s">
        <v>33</v>
      </c>
      <c r="E232" s="310" t="s">
        <v>649</v>
      </c>
      <c r="F232" s="260" t="s">
        <v>34</v>
      </c>
      <c r="G232" s="261">
        <v>36</v>
      </c>
      <c r="H232" s="8" t="s">
        <v>55</v>
      </c>
      <c r="I232" s="24" t="s">
        <v>645</v>
      </c>
      <c r="J232" s="162">
        <v>89000</v>
      </c>
      <c r="K232" s="148">
        <f t="shared" si="113"/>
        <v>8010</v>
      </c>
      <c r="L232" s="40">
        <f t="shared" si="114"/>
        <v>8010</v>
      </c>
      <c r="M232" s="40">
        <f t="shared" si="115"/>
        <v>0</v>
      </c>
      <c r="N232" s="41">
        <f t="shared" si="116"/>
        <v>105020</v>
      </c>
      <c r="O232" s="21">
        <f t="shared" si="131"/>
        <v>222.5</v>
      </c>
      <c r="P232" s="349">
        <f t="shared" si="132"/>
        <v>2.5000000000000001E-3</v>
      </c>
      <c r="Q232" s="23">
        <f>N232-(J232*0.25%)</f>
        <v>104797.5</v>
      </c>
      <c r="R232" s="67">
        <v>45959</v>
      </c>
      <c r="S232" s="6" t="s">
        <v>74</v>
      </c>
      <c r="T232" s="10" t="s">
        <v>124</v>
      </c>
      <c r="U232" s="66"/>
      <c r="V232" s="8"/>
    </row>
    <row r="233" spans="1:22" ht="30" customHeight="1" x14ac:dyDescent="0.3">
      <c r="A233" s="19">
        <f t="shared" si="125"/>
        <v>232</v>
      </c>
      <c r="B233" s="311" t="s">
        <v>657</v>
      </c>
      <c r="C233" s="46">
        <v>45934</v>
      </c>
      <c r="D233" s="164" t="s">
        <v>70</v>
      </c>
      <c r="E233" s="326" t="s">
        <v>659</v>
      </c>
      <c r="F233" s="260" t="s">
        <v>134</v>
      </c>
      <c r="G233" s="261">
        <v>10</v>
      </c>
      <c r="H233" s="8" t="s">
        <v>39</v>
      </c>
      <c r="I233" s="24" t="s">
        <v>661</v>
      </c>
      <c r="J233" s="45">
        <v>60709</v>
      </c>
      <c r="K233" s="166">
        <f t="shared" si="113"/>
        <v>0</v>
      </c>
      <c r="L233" s="40">
        <f t="shared" si="114"/>
        <v>0</v>
      </c>
      <c r="M233" s="40">
        <f t="shared" si="115"/>
        <v>10928</v>
      </c>
      <c r="N233" s="41">
        <f t="shared" si="116"/>
        <v>71637</v>
      </c>
      <c r="O233" s="21">
        <f t="shared" si="131"/>
        <v>6071.3800000000047</v>
      </c>
      <c r="P233" s="349">
        <f t="shared" si="132"/>
        <v>0.10000790657068977</v>
      </c>
      <c r="Q233" s="23">
        <f>65565.62</f>
        <v>65565.62</v>
      </c>
      <c r="R233" s="67">
        <v>45959</v>
      </c>
      <c r="S233" s="6" t="s">
        <v>74</v>
      </c>
      <c r="T233" s="10" t="s">
        <v>136</v>
      </c>
      <c r="U233" s="66"/>
      <c r="V233" s="8"/>
    </row>
    <row r="234" spans="1:22" ht="30" customHeight="1" x14ac:dyDescent="0.3">
      <c r="A234" s="19">
        <f t="shared" si="125"/>
        <v>233</v>
      </c>
      <c r="B234" s="311" t="s">
        <v>657</v>
      </c>
      <c r="C234" s="46">
        <v>45934</v>
      </c>
      <c r="D234" s="164" t="s">
        <v>70</v>
      </c>
      <c r="E234" s="313" t="s">
        <v>658</v>
      </c>
      <c r="F234" s="260" t="s">
        <v>134</v>
      </c>
      <c r="G234" s="261">
        <v>10</v>
      </c>
      <c r="H234" s="8" t="s">
        <v>39</v>
      </c>
      <c r="I234" s="24" t="s">
        <v>661</v>
      </c>
      <c r="J234" s="45">
        <v>39001</v>
      </c>
      <c r="K234" s="166">
        <f t="shared" si="113"/>
        <v>0</v>
      </c>
      <c r="L234" s="40">
        <f t="shared" si="114"/>
        <v>0</v>
      </c>
      <c r="M234" s="40">
        <f t="shared" si="115"/>
        <v>7020</v>
      </c>
      <c r="N234" s="41">
        <f t="shared" si="116"/>
        <v>46021</v>
      </c>
      <c r="O234" s="21">
        <f t="shared" si="131"/>
        <v>779.81999999999971</v>
      </c>
      <c r="P234" s="349">
        <f t="shared" si="132"/>
        <v>1.9994871926360853E-2</v>
      </c>
      <c r="Q234" s="23">
        <v>45241.18</v>
      </c>
      <c r="R234" s="67">
        <v>45959</v>
      </c>
      <c r="S234" s="6" t="s">
        <v>74</v>
      </c>
      <c r="T234" s="10" t="s">
        <v>136</v>
      </c>
      <c r="U234" s="66"/>
      <c r="V234" s="8"/>
    </row>
    <row r="235" spans="1:22" ht="30" customHeight="1" x14ac:dyDescent="0.3">
      <c r="A235" s="19">
        <f t="shared" si="125"/>
        <v>234</v>
      </c>
      <c r="B235" s="311" t="s">
        <v>657</v>
      </c>
      <c r="C235" s="46">
        <v>45958</v>
      </c>
      <c r="D235" s="75" t="s">
        <v>70</v>
      </c>
      <c r="E235" s="331" t="s">
        <v>690</v>
      </c>
      <c r="F235" s="260" t="s">
        <v>126</v>
      </c>
      <c r="G235" s="261">
        <v>24</v>
      </c>
      <c r="H235" s="8" t="s">
        <v>125</v>
      </c>
      <c r="I235" s="24" t="s">
        <v>691</v>
      </c>
      <c r="J235" s="45">
        <v>12753409.225806452</v>
      </c>
      <c r="K235" s="43">
        <f t="shared" si="113"/>
        <v>0</v>
      </c>
      <c r="L235" s="40">
        <f t="shared" si="114"/>
        <v>0</v>
      </c>
      <c r="M235" s="40">
        <f t="shared" si="115"/>
        <v>2295614</v>
      </c>
      <c r="N235" s="41">
        <f t="shared" si="116"/>
        <v>15049023.225806452</v>
      </c>
      <c r="O235" s="21">
        <f t="shared" si="131"/>
        <v>31884.335806451738</v>
      </c>
      <c r="P235" s="349">
        <f t="shared" si="132"/>
        <v>2.5000637274254448E-3</v>
      </c>
      <c r="Q235" s="23">
        <f>15017138.89</f>
        <v>15017138.890000001</v>
      </c>
      <c r="R235" s="67">
        <v>45961</v>
      </c>
      <c r="S235" s="6" t="s">
        <v>74</v>
      </c>
      <c r="T235" s="10" t="s">
        <v>569</v>
      </c>
      <c r="U235" s="66"/>
      <c r="V235" s="8"/>
    </row>
    <row r="236" spans="1:22" ht="30" customHeight="1" x14ac:dyDescent="0.3">
      <c r="A236" s="19">
        <f t="shared" si="125"/>
        <v>235</v>
      </c>
      <c r="B236" s="311" t="s">
        <v>657</v>
      </c>
      <c r="C236" s="46">
        <v>45940</v>
      </c>
      <c r="D236" s="167" t="s">
        <v>70</v>
      </c>
      <c r="E236" s="317" t="s">
        <v>667</v>
      </c>
      <c r="F236" s="260" t="s">
        <v>138</v>
      </c>
      <c r="G236" s="261">
        <v>36</v>
      </c>
      <c r="H236" s="8" t="s">
        <v>49</v>
      </c>
      <c r="I236" s="24" t="s">
        <v>670</v>
      </c>
      <c r="J236" s="45">
        <v>21373974</v>
      </c>
      <c r="K236" s="169">
        <f t="shared" si="113"/>
        <v>1923658</v>
      </c>
      <c r="L236" s="40">
        <f t="shared" si="114"/>
        <v>1923658</v>
      </c>
      <c r="M236" s="40">
        <f t="shared" si="115"/>
        <v>0</v>
      </c>
      <c r="N236" s="41">
        <f t="shared" si="116"/>
        <v>25221290</v>
      </c>
      <c r="O236" s="21">
        <f t="shared" si="131"/>
        <v>53435.679999999702</v>
      </c>
      <c r="P236" s="349">
        <f t="shared" si="132"/>
        <v>2.5000348554742183E-3</v>
      </c>
      <c r="Q236" s="23">
        <v>25167854.32</v>
      </c>
      <c r="R236" s="67">
        <v>45961</v>
      </c>
      <c r="S236" s="6" t="s">
        <v>74</v>
      </c>
      <c r="T236" s="10" t="s">
        <v>96</v>
      </c>
      <c r="U236" s="66"/>
      <c r="V236" s="8"/>
    </row>
    <row r="237" spans="1:22" ht="30" customHeight="1" x14ac:dyDescent="0.3">
      <c r="A237" s="19">
        <f t="shared" si="125"/>
        <v>236</v>
      </c>
      <c r="B237" s="311" t="s">
        <v>657</v>
      </c>
      <c r="C237" s="46">
        <v>45940</v>
      </c>
      <c r="D237" s="167" t="s">
        <v>70</v>
      </c>
      <c r="E237" s="317" t="s">
        <v>668</v>
      </c>
      <c r="F237" s="260" t="s">
        <v>138</v>
      </c>
      <c r="G237" s="261">
        <v>36</v>
      </c>
      <c r="H237" s="8" t="s">
        <v>49</v>
      </c>
      <c r="I237" s="24" t="s">
        <v>671</v>
      </c>
      <c r="J237" s="45">
        <v>372371</v>
      </c>
      <c r="K237" s="169">
        <f t="shared" si="113"/>
        <v>33513</v>
      </c>
      <c r="L237" s="40">
        <f t="shared" si="114"/>
        <v>33513</v>
      </c>
      <c r="M237" s="40">
        <f t="shared" si="115"/>
        <v>0</v>
      </c>
      <c r="N237" s="41">
        <f t="shared" si="116"/>
        <v>439397</v>
      </c>
      <c r="O237" s="21">
        <f t="shared" si="131"/>
        <v>930.21999999997206</v>
      </c>
      <c r="P237" s="349">
        <f t="shared" si="132"/>
        <v>2.4981000131588443E-3</v>
      </c>
      <c r="Q237" s="23">
        <v>438466.78</v>
      </c>
      <c r="R237" s="67">
        <v>45961</v>
      </c>
      <c r="S237" s="6" t="s">
        <v>74</v>
      </c>
      <c r="T237" s="10" t="s">
        <v>96</v>
      </c>
      <c r="U237" s="66"/>
      <c r="V237" s="8"/>
    </row>
    <row r="238" spans="1:22" ht="30" customHeight="1" x14ac:dyDescent="0.3">
      <c r="A238" s="19">
        <f t="shared" si="125"/>
        <v>237</v>
      </c>
      <c r="B238" s="311" t="s">
        <v>657</v>
      </c>
      <c r="C238" s="46">
        <v>45940</v>
      </c>
      <c r="D238" s="167" t="s">
        <v>70</v>
      </c>
      <c r="E238" s="317" t="s">
        <v>669</v>
      </c>
      <c r="F238" s="260" t="s">
        <v>138</v>
      </c>
      <c r="G238" s="261">
        <v>36</v>
      </c>
      <c r="H238" s="8" t="s">
        <v>49</v>
      </c>
      <c r="I238" s="24" t="s">
        <v>672</v>
      </c>
      <c r="J238" s="45">
        <v>805074</v>
      </c>
      <c r="K238" s="169">
        <f>ROUND(IF(G238=36,J238*9%,0),0)</f>
        <v>72457</v>
      </c>
      <c r="L238" s="40">
        <f>ROUND(IF(G238=36,J238*9%,0),0)</f>
        <v>72457</v>
      </c>
      <c r="M238" s="40">
        <f>ROUND(IF(G238=36,J238*0%,J238*18%),0)</f>
        <v>0</v>
      </c>
      <c r="N238" s="41">
        <f>J238+K238+L238+M238</f>
        <v>949988</v>
      </c>
      <c r="O238" s="21">
        <f t="shared" si="131"/>
        <v>2013.6800000000512</v>
      </c>
      <c r="P238" s="349">
        <f t="shared" si="132"/>
        <v>2.5012359112330683E-3</v>
      </c>
      <c r="Q238" s="23">
        <v>947974.32</v>
      </c>
      <c r="R238" s="67">
        <v>45961</v>
      </c>
      <c r="S238" s="6" t="s">
        <v>74</v>
      </c>
      <c r="T238" s="10" t="s">
        <v>96</v>
      </c>
      <c r="U238" s="66"/>
      <c r="V238" s="8"/>
    </row>
    <row r="239" spans="1:22" ht="30" customHeight="1" x14ac:dyDescent="0.3">
      <c r="A239" s="19">
        <f t="shared" si="125"/>
        <v>238</v>
      </c>
      <c r="B239" s="311" t="s">
        <v>657</v>
      </c>
      <c r="C239" s="46">
        <v>45940</v>
      </c>
      <c r="D239" s="167" t="s">
        <v>70</v>
      </c>
      <c r="E239" s="317" t="s">
        <v>673</v>
      </c>
      <c r="F239" s="167" t="s">
        <v>138</v>
      </c>
      <c r="G239" s="168">
        <v>36</v>
      </c>
      <c r="H239" s="8" t="s">
        <v>49</v>
      </c>
      <c r="I239" s="24" t="s">
        <v>674</v>
      </c>
      <c r="J239" s="39">
        <v>835416</v>
      </c>
      <c r="K239" s="169">
        <f t="shared" ref="K239:K245" si="133">ROUND(IF(G239=36,J239*9%,0),0)</f>
        <v>75187</v>
      </c>
      <c r="L239" s="40">
        <f t="shared" ref="L239:L245" si="134">ROUND(IF(G239=36,J239*9%,0),0)</f>
        <v>75187</v>
      </c>
      <c r="M239" s="40">
        <f t="shared" ref="M239:M245" si="135">ROUND(IF(G239=36,J239*0%,J239*18%),0)</f>
        <v>0</v>
      </c>
      <c r="N239" s="41">
        <f t="shared" ref="N239:N245" si="136">J239+K239+L239+M239</f>
        <v>985790</v>
      </c>
      <c r="O239" s="21">
        <f t="shared" si="131"/>
        <v>2088.1199999999953</v>
      </c>
      <c r="P239" s="349">
        <f t="shared" si="132"/>
        <v>2.4994972564566578E-3</v>
      </c>
      <c r="Q239" s="23">
        <v>983701.88</v>
      </c>
      <c r="R239" s="67">
        <v>45961</v>
      </c>
      <c r="S239" s="6" t="s">
        <v>74</v>
      </c>
      <c r="T239" s="10" t="s">
        <v>96</v>
      </c>
      <c r="U239" s="66"/>
      <c r="V239" s="8"/>
    </row>
    <row r="240" spans="1:22" ht="30" customHeight="1" x14ac:dyDescent="0.3">
      <c r="A240" s="19">
        <f t="shared" si="125"/>
        <v>239</v>
      </c>
      <c r="B240" s="330" t="s">
        <v>713</v>
      </c>
      <c r="C240" s="46">
        <v>45959</v>
      </c>
      <c r="D240" s="146" t="s">
        <v>288</v>
      </c>
      <c r="E240" s="325" t="s">
        <v>692</v>
      </c>
      <c r="F240" s="146" t="s">
        <v>289</v>
      </c>
      <c r="G240" s="147">
        <v>36</v>
      </c>
      <c r="H240" s="8" t="s">
        <v>287</v>
      </c>
      <c r="I240" s="24" t="s">
        <v>695</v>
      </c>
      <c r="J240" s="162">
        <v>375360.77</v>
      </c>
      <c r="K240" s="43">
        <f t="shared" si="133"/>
        <v>33782</v>
      </c>
      <c r="L240" s="40">
        <f t="shared" si="134"/>
        <v>33782</v>
      </c>
      <c r="M240" s="40">
        <f t="shared" si="135"/>
        <v>0</v>
      </c>
      <c r="N240" s="41">
        <f t="shared" si="136"/>
        <v>442924.77</v>
      </c>
      <c r="O240" s="21">
        <f>N240-Q240</f>
        <v>938.40192500001285</v>
      </c>
      <c r="P240" s="349">
        <f>O240/J240</f>
        <v>2.5000000000000343E-3</v>
      </c>
      <c r="Q240" s="23">
        <f>N240-(J240*0.25%)</f>
        <v>441986.36807500001</v>
      </c>
      <c r="R240" s="67">
        <v>45968</v>
      </c>
      <c r="S240" s="6" t="s">
        <v>74</v>
      </c>
      <c r="T240" s="10" t="s">
        <v>322</v>
      </c>
      <c r="U240" s="66"/>
      <c r="V240" s="8"/>
    </row>
    <row r="241" spans="1:22" ht="30" customHeight="1" x14ac:dyDescent="0.3">
      <c r="A241" s="19">
        <f t="shared" si="125"/>
        <v>240</v>
      </c>
      <c r="B241" s="330" t="s">
        <v>713</v>
      </c>
      <c r="C241" s="46">
        <v>45959</v>
      </c>
      <c r="D241" s="146" t="s">
        <v>288</v>
      </c>
      <c r="E241" s="325" t="s">
        <v>693</v>
      </c>
      <c r="F241" s="146" t="s">
        <v>289</v>
      </c>
      <c r="G241" s="147">
        <v>36</v>
      </c>
      <c r="H241" s="8" t="s">
        <v>287</v>
      </c>
      <c r="I241" s="24" t="s">
        <v>696</v>
      </c>
      <c r="J241" s="162">
        <v>94770.66</v>
      </c>
      <c r="K241" s="43">
        <f t="shared" si="133"/>
        <v>8529</v>
      </c>
      <c r="L241" s="40">
        <f t="shared" si="134"/>
        <v>8529</v>
      </c>
      <c r="M241" s="40">
        <f t="shared" si="135"/>
        <v>0</v>
      </c>
      <c r="N241" s="41">
        <f t="shared" si="136"/>
        <v>111828.66</v>
      </c>
      <c r="O241" s="21">
        <f>N241-Q241</f>
        <v>236.92664999999397</v>
      </c>
      <c r="P241" s="349">
        <f>O241/J241</f>
        <v>2.4999999999999363E-3</v>
      </c>
      <c r="Q241" s="23">
        <f>N241-(J241*0.25%)</f>
        <v>111591.73335000001</v>
      </c>
      <c r="R241" s="67">
        <v>45968</v>
      </c>
      <c r="S241" s="6" t="s">
        <v>74</v>
      </c>
      <c r="T241" s="10" t="s">
        <v>322</v>
      </c>
      <c r="U241" s="66"/>
      <c r="V241" s="8"/>
    </row>
    <row r="242" spans="1:22" ht="30" customHeight="1" x14ac:dyDescent="0.3">
      <c r="A242" s="19">
        <f t="shared" si="125"/>
        <v>241</v>
      </c>
      <c r="B242" s="330" t="s">
        <v>713</v>
      </c>
      <c r="C242" s="46">
        <v>45959</v>
      </c>
      <c r="D242" s="146" t="s">
        <v>288</v>
      </c>
      <c r="E242" s="325" t="s">
        <v>694</v>
      </c>
      <c r="F242" s="146" t="s">
        <v>289</v>
      </c>
      <c r="G242" s="147">
        <v>36</v>
      </c>
      <c r="H242" s="8" t="s">
        <v>287</v>
      </c>
      <c r="I242" s="24" t="s">
        <v>695</v>
      </c>
      <c r="J242" s="162">
        <v>133577.19</v>
      </c>
      <c r="K242" s="43">
        <f t="shared" si="133"/>
        <v>12022</v>
      </c>
      <c r="L242" s="40">
        <f t="shared" si="134"/>
        <v>12022</v>
      </c>
      <c r="M242" s="40">
        <f t="shared" si="135"/>
        <v>0</v>
      </c>
      <c r="N242" s="41">
        <f t="shared" si="136"/>
        <v>157621.19</v>
      </c>
      <c r="O242" s="21">
        <f>N242-Q242</f>
        <v>333.94297500001267</v>
      </c>
      <c r="P242" s="349">
        <f>O242/J242</f>
        <v>2.5000000000000946E-3</v>
      </c>
      <c r="Q242" s="23">
        <f>N242-(J242*0.25%)</f>
        <v>157287.24702499999</v>
      </c>
      <c r="R242" s="67">
        <v>45968</v>
      </c>
      <c r="S242" s="6" t="s">
        <v>74</v>
      </c>
      <c r="T242" s="10" t="s">
        <v>322</v>
      </c>
      <c r="U242" s="66"/>
      <c r="V242" s="8"/>
    </row>
    <row r="243" spans="1:22" ht="30" customHeight="1" x14ac:dyDescent="0.3">
      <c r="A243" s="19">
        <f t="shared" si="125"/>
        <v>242</v>
      </c>
      <c r="B243" s="330" t="s">
        <v>713</v>
      </c>
      <c r="C243" s="46">
        <v>45931</v>
      </c>
      <c r="D243" s="46" t="s">
        <v>33</v>
      </c>
      <c r="E243" s="310" t="s">
        <v>647</v>
      </c>
      <c r="F243" s="260" t="s">
        <v>34</v>
      </c>
      <c r="G243" s="147">
        <v>36</v>
      </c>
      <c r="H243" s="8" t="s">
        <v>55</v>
      </c>
      <c r="I243" s="24" t="s">
        <v>643</v>
      </c>
      <c r="J243" s="162">
        <v>20592</v>
      </c>
      <c r="K243" s="148">
        <f t="shared" si="133"/>
        <v>1853</v>
      </c>
      <c r="L243" s="40">
        <f t="shared" si="134"/>
        <v>1853</v>
      </c>
      <c r="M243" s="40">
        <f t="shared" si="135"/>
        <v>0</v>
      </c>
      <c r="N243" s="41">
        <f t="shared" si="136"/>
        <v>24298</v>
      </c>
      <c r="O243" s="21">
        <f>N243-Q243</f>
        <v>51</v>
      </c>
      <c r="P243" s="349">
        <f>O243/J243</f>
        <v>2.4766899766899765E-3</v>
      </c>
      <c r="Q243" s="23">
        <v>24247</v>
      </c>
      <c r="R243" s="67">
        <v>45980</v>
      </c>
      <c r="S243" s="6" t="s">
        <v>74</v>
      </c>
      <c r="T243" s="10" t="s">
        <v>124</v>
      </c>
      <c r="U243" s="66"/>
      <c r="V243" s="8"/>
    </row>
    <row r="244" spans="1:22" ht="30" customHeight="1" x14ac:dyDescent="0.3">
      <c r="A244" s="19">
        <f t="shared" si="125"/>
        <v>243</v>
      </c>
      <c r="B244" s="330" t="s">
        <v>713</v>
      </c>
      <c r="C244" s="46">
        <v>45915</v>
      </c>
      <c r="D244" s="60" t="s">
        <v>33</v>
      </c>
      <c r="E244" s="305" t="s">
        <v>622</v>
      </c>
      <c r="F244" s="260" t="s">
        <v>37</v>
      </c>
      <c r="G244" s="261">
        <v>36</v>
      </c>
      <c r="H244" s="8" t="s">
        <v>38</v>
      </c>
      <c r="I244" s="24" t="s">
        <v>624</v>
      </c>
      <c r="J244" s="45">
        <f>158333+(190000*3)</f>
        <v>728333</v>
      </c>
      <c r="K244" s="43">
        <f t="shared" si="133"/>
        <v>65550</v>
      </c>
      <c r="L244" s="40">
        <f t="shared" si="134"/>
        <v>65550</v>
      </c>
      <c r="M244" s="40">
        <f t="shared" si="135"/>
        <v>0</v>
      </c>
      <c r="N244" s="41">
        <f t="shared" si="136"/>
        <v>859433</v>
      </c>
      <c r="O244" s="21">
        <f t="shared" ref="O244:O245" si="137">J244*10%</f>
        <v>72833.3</v>
      </c>
      <c r="P244" s="349">
        <f t="shared" ref="P244:P245" si="138">O244/J244</f>
        <v>0.1</v>
      </c>
      <c r="Q244" s="23">
        <f>1573200/2</f>
        <v>786600</v>
      </c>
      <c r="R244" s="67">
        <v>45980</v>
      </c>
      <c r="S244" s="6" t="s">
        <v>74</v>
      </c>
      <c r="T244" s="10" t="s">
        <v>124</v>
      </c>
      <c r="U244" s="66"/>
      <c r="V244" s="8"/>
    </row>
    <row r="245" spans="1:22" ht="30" customHeight="1" x14ac:dyDescent="0.3">
      <c r="A245" s="19">
        <f t="shared" si="125"/>
        <v>244</v>
      </c>
      <c r="B245" s="330" t="s">
        <v>713</v>
      </c>
      <c r="C245" s="46">
        <v>45915</v>
      </c>
      <c r="D245" s="60" t="s">
        <v>33</v>
      </c>
      <c r="E245" s="305" t="s">
        <v>623</v>
      </c>
      <c r="F245" s="260" t="s">
        <v>37</v>
      </c>
      <c r="G245" s="261">
        <v>36</v>
      </c>
      <c r="H245" s="8" t="s">
        <v>38</v>
      </c>
      <c r="I245" s="24" t="s">
        <v>625</v>
      </c>
      <c r="J245" s="45">
        <f>158333+(190000*3)</f>
        <v>728333</v>
      </c>
      <c r="K245" s="43">
        <f t="shared" si="133"/>
        <v>65550</v>
      </c>
      <c r="L245" s="40">
        <f t="shared" si="134"/>
        <v>65550</v>
      </c>
      <c r="M245" s="40">
        <f t="shared" si="135"/>
        <v>0</v>
      </c>
      <c r="N245" s="41">
        <f t="shared" si="136"/>
        <v>859433</v>
      </c>
      <c r="O245" s="21">
        <f t="shared" si="137"/>
        <v>72833.3</v>
      </c>
      <c r="P245" s="349">
        <f t="shared" si="138"/>
        <v>0.1</v>
      </c>
      <c r="Q245" s="23">
        <f>1573200/2</f>
        <v>786600</v>
      </c>
      <c r="R245" s="67">
        <v>45980</v>
      </c>
      <c r="S245" s="6" t="s">
        <v>74</v>
      </c>
      <c r="T245" s="10" t="s">
        <v>124</v>
      </c>
      <c r="U245" s="66"/>
      <c r="V245" s="8"/>
    </row>
    <row r="246" spans="1:22" ht="30" customHeight="1" x14ac:dyDescent="0.3">
      <c r="A246" s="19">
        <f t="shared" si="125"/>
        <v>245</v>
      </c>
      <c r="B246" s="334" t="s">
        <v>713</v>
      </c>
      <c r="C246" s="46">
        <v>45971</v>
      </c>
      <c r="D246" s="167" t="s">
        <v>70</v>
      </c>
      <c r="E246" s="18" t="s">
        <v>714</v>
      </c>
      <c r="F246" s="167" t="s">
        <v>138</v>
      </c>
      <c r="G246" s="168">
        <v>36</v>
      </c>
      <c r="H246" s="8" t="s">
        <v>49</v>
      </c>
      <c r="I246" s="24" t="s">
        <v>720</v>
      </c>
      <c r="J246" s="39">
        <v>20855002</v>
      </c>
      <c r="K246" s="169">
        <f t="shared" ref="K246:K249" si="139">ROUND(IF(G246=36,J246*9%,0),0)</f>
        <v>1876950</v>
      </c>
      <c r="L246" s="40">
        <f t="shared" ref="L246:L249" si="140">ROUND(IF(G246=36,J246*9%,0),0)</f>
        <v>1876950</v>
      </c>
      <c r="M246" s="8"/>
      <c r="N246" s="41">
        <f t="shared" ref="N246:N255" si="141">J246+K246+L246+M246</f>
        <v>24608902</v>
      </c>
      <c r="O246" s="352">
        <v>52138</v>
      </c>
      <c r="P246" s="349">
        <f t="shared" ref="P246:P251" si="142">O246/J246</f>
        <v>2.5000237353129959E-3</v>
      </c>
      <c r="Q246" s="23">
        <v>24556764.359999999</v>
      </c>
      <c r="R246" s="5">
        <v>45989</v>
      </c>
      <c r="S246" s="6" t="s">
        <v>74</v>
      </c>
      <c r="T246" s="10" t="s">
        <v>96</v>
      </c>
      <c r="U246" s="66"/>
      <c r="V246" s="8"/>
    </row>
    <row r="247" spans="1:22" ht="30" customHeight="1" x14ac:dyDescent="0.3">
      <c r="A247" s="19">
        <f t="shared" si="125"/>
        <v>246</v>
      </c>
      <c r="B247" s="334" t="s">
        <v>713</v>
      </c>
      <c r="C247" s="46">
        <v>45971</v>
      </c>
      <c r="D247" s="167" t="s">
        <v>70</v>
      </c>
      <c r="E247" s="331" t="s">
        <v>715</v>
      </c>
      <c r="F247" s="167" t="s">
        <v>138</v>
      </c>
      <c r="G247" s="168">
        <v>36</v>
      </c>
      <c r="H247" s="8" t="s">
        <v>49</v>
      </c>
      <c r="I247" s="24" t="s">
        <v>718</v>
      </c>
      <c r="J247" s="39">
        <v>596164</v>
      </c>
      <c r="K247" s="169">
        <f t="shared" si="139"/>
        <v>53655</v>
      </c>
      <c r="L247" s="40">
        <f t="shared" si="140"/>
        <v>53655</v>
      </c>
      <c r="M247" s="8"/>
      <c r="N247" s="41">
        <f t="shared" si="141"/>
        <v>703474</v>
      </c>
      <c r="O247" s="353">
        <v>1490</v>
      </c>
      <c r="P247" s="349">
        <f t="shared" si="142"/>
        <v>2.4993122697781148E-3</v>
      </c>
      <c r="Q247" s="23">
        <v>701983.52</v>
      </c>
      <c r="R247" s="5">
        <v>45989</v>
      </c>
      <c r="S247" s="6" t="s">
        <v>74</v>
      </c>
      <c r="T247" s="10" t="s">
        <v>96</v>
      </c>
      <c r="U247" s="66"/>
      <c r="V247" s="8"/>
    </row>
    <row r="248" spans="1:22" ht="30" customHeight="1" x14ac:dyDescent="0.3">
      <c r="A248" s="19">
        <f t="shared" si="125"/>
        <v>247</v>
      </c>
      <c r="B248" s="334" t="s">
        <v>713</v>
      </c>
      <c r="C248" s="46">
        <v>45971</v>
      </c>
      <c r="D248" s="167" t="s">
        <v>70</v>
      </c>
      <c r="E248" s="331" t="s">
        <v>716</v>
      </c>
      <c r="F248" s="167" t="s">
        <v>138</v>
      </c>
      <c r="G248" s="168">
        <v>36</v>
      </c>
      <c r="H248" s="8" t="s">
        <v>49</v>
      </c>
      <c r="I248" s="24" t="s">
        <v>719</v>
      </c>
      <c r="J248" s="39">
        <v>663872</v>
      </c>
      <c r="K248" s="169">
        <f t="shared" si="139"/>
        <v>59748</v>
      </c>
      <c r="L248" s="40">
        <f t="shared" si="140"/>
        <v>59748</v>
      </c>
      <c r="M248" s="8"/>
      <c r="N248" s="41">
        <f t="shared" si="141"/>
        <v>783368</v>
      </c>
      <c r="O248" s="353">
        <v>1660</v>
      </c>
      <c r="P248" s="349">
        <f t="shared" si="142"/>
        <v>2.5004820206304831E-3</v>
      </c>
      <c r="Q248" s="23">
        <v>781708.96</v>
      </c>
      <c r="R248" s="5">
        <v>45989</v>
      </c>
      <c r="S248" s="6" t="s">
        <v>74</v>
      </c>
      <c r="T248" s="10" t="s">
        <v>96</v>
      </c>
      <c r="U248" s="66"/>
      <c r="V248" s="8"/>
    </row>
    <row r="249" spans="1:22" ht="30" customHeight="1" x14ac:dyDescent="0.3">
      <c r="A249" s="19">
        <f t="shared" si="125"/>
        <v>248</v>
      </c>
      <c r="B249" s="334" t="s">
        <v>713</v>
      </c>
      <c r="C249" s="46">
        <v>45971</v>
      </c>
      <c r="D249" s="167" t="s">
        <v>70</v>
      </c>
      <c r="E249" s="331" t="s">
        <v>717</v>
      </c>
      <c r="F249" s="167" t="s">
        <v>138</v>
      </c>
      <c r="G249" s="168">
        <v>36</v>
      </c>
      <c r="H249" s="8" t="s">
        <v>49</v>
      </c>
      <c r="I249" s="24" t="s">
        <v>721</v>
      </c>
      <c r="J249" s="39">
        <v>419931</v>
      </c>
      <c r="K249" s="169">
        <f t="shared" si="139"/>
        <v>37794</v>
      </c>
      <c r="L249" s="40">
        <f t="shared" si="140"/>
        <v>37794</v>
      </c>
      <c r="M249" s="8"/>
      <c r="N249" s="41">
        <f t="shared" si="141"/>
        <v>495519</v>
      </c>
      <c r="O249" s="49">
        <v>1050</v>
      </c>
      <c r="P249" s="349">
        <f t="shared" si="142"/>
        <v>2.5004107817712912E-3</v>
      </c>
      <c r="Q249" s="23">
        <v>494468.58</v>
      </c>
      <c r="R249" s="5">
        <v>45989</v>
      </c>
      <c r="S249" s="6" t="s">
        <v>74</v>
      </c>
      <c r="T249" s="10" t="s">
        <v>96</v>
      </c>
      <c r="U249" s="66"/>
      <c r="V249" s="8"/>
    </row>
    <row r="250" spans="1:22" ht="30" customHeight="1" x14ac:dyDescent="0.3">
      <c r="A250" s="19">
        <f t="shared" si="125"/>
        <v>249</v>
      </c>
      <c r="B250" s="334" t="s">
        <v>713</v>
      </c>
      <c r="C250" s="46">
        <v>45966</v>
      </c>
      <c r="D250" s="167" t="s">
        <v>70</v>
      </c>
      <c r="E250" s="228" t="s">
        <v>708</v>
      </c>
      <c r="F250" s="331" t="s">
        <v>134</v>
      </c>
      <c r="G250" s="76">
        <v>10</v>
      </c>
      <c r="H250" s="8" t="s">
        <v>39</v>
      </c>
      <c r="I250" s="24" t="s">
        <v>761</v>
      </c>
      <c r="J250" s="45">
        <v>39001</v>
      </c>
      <c r="K250" s="43"/>
      <c r="L250" s="40"/>
      <c r="M250" s="40">
        <f>J250*18%</f>
        <v>7020.1799999999994</v>
      </c>
      <c r="N250" s="41">
        <f t="shared" si="141"/>
        <v>46021.18</v>
      </c>
      <c r="O250" s="21">
        <v>780</v>
      </c>
      <c r="P250" s="349">
        <f t="shared" si="142"/>
        <v>1.9999487192636087E-2</v>
      </c>
      <c r="Q250" s="23">
        <v>45241.18</v>
      </c>
      <c r="R250" s="5">
        <v>45989</v>
      </c>
      <c r="S250" s="6" t="s">
        <v>74</v>
      </c>
      <c r="T250" s="10" t="s">
        <v>136</v>
      </c>
      <c r="U250" s="66"/>
      <c r="V250" s="8"/>
    </row>
    <row r="251" spans="1:22" ht="30" customHeight="1" x14ac:dyDescent="0.3">
      <c r="A251" s="19">
        <f t="shared" si="125"/>
        <v>250</v>
      </c>
      <c r="B251" s="334" t="s">
        <v>713</v>
      </c>
      <c r="C251" s="46">
        <v>45966</v>
      </c>
      <c r="D251" s="167" t="s">
        <v>70</v>
      </c>
      <c r="E251" s="60" t="s">
        <v>709</v>
      </c>
      <c r="F251" s="331" t="s">
        <v>134</v>
      </c>
      <c r="G251" s="76">
        <v>10</v>
      </c>
      <c r="H251" s="8" t="s">
        <v>39</v>
      </c>
      <c r="I251" s="24" t="s">
        <v>761</v>
      </c>
      <c r="J251" s="45">
        <v>60709</v>
      </c>
      <c r="K251" s="43"/>
      <c r="L251" s="40"/>
      <c r="M251" s="40">
        <f>J251*18%</f>
        <v>10927.619999999999</v>
      </c>
      <c r="N251" s="41">
        <f t="shared" si="141"/>
        <v>71636.62</v>
      </c>
      <c r="O251" s="21">
        <v>1214</v>
      </c>
      <c r="P251" s="349">
        <f t="shared" si="142"/>
        <v>1.9997035035991369E-2</v>
      </c>
      <c r="Q251" s="23">
        <v>70422.62</v>
      </c>
      <c r="R251" s="5">
        <v>45989</v>
      </c>
      <c r="S251" s="6" t="s">
        <v>74</v>
      </c>
      <c r="T251" s="10" t="s">
        <v>136</v>
      </c>
      <c r="U251" s="10"/>
      <c r="V251" s="10"/>
    </row>
    <row r="252" spans="1:22" ht="30" customHeight="1" x14ac:dyDescent="0.3">
      <c r="A252" s="19">
        <f t="shared" si="125"/>
        <v>251</v>
      </c>
      <c r="B252" s="371">
        <v>45992</v>
      </c>
      <c r="C252" s="46">
        <v>45988</v>
      </c>
      <c r="D252" s="167" t="s">
        <v>70</v>
      </c>
      <c r="E252" s="331" t="s">
        <v>756</v>
      </c>
      <c r="F252" s="331" t="s">
        <v>126</v>
      </c>
      <c r="G252" s="261">
        <v>24</v>
      </c>
      <c r="H252" s="8" t="s">
        <v>125</v>
      </c>
      <c r="I252" s="24" t="s">
        <v>760</v>
      </c>
      <c r="J252" s="162">
        <v>11530859</v>
      </c>
      <c r="K252" s="43">
        <f t="shared" ref="K252:K261" si="143">ROUND(IF(G252=36,J252*9%,0),0)</f>
        <v>0</v>
      </c>
      <c r="L252" s="40">
        <f t="shared" ref="L252:L266" si="144">ROUND(IF(G252=36,J252*9%,0),0)</f>
        <v>0</v>
      </c>
      <c r="M252" s="40">
        <f t="shared" ref="M252:M266" si="145">ROUND(IF(G252=36,J252*0%,J252*18%),0)</f>
        <v>2075555</v>
      </c>
      <c r="N252" s="41">
        <f t="shared" si="141"/>
        <v>13606414</v>
      </c>
      <c r="O252" s="21">
        <f t="shared" ref="O252:O257" si="146">N252-Q252</f>
        <v>28827.710000000894</v>
      </c>
      <c r="P252" s="9">
        <f>O252/J252</f>
        <v>2.5000487821419805E-3</v>
      </c>
      <c r="Q252" s="23">
        <v>13577586.289999999</v>
      </c>
      <c r="R252" s="67">
        <v>45993</v>
      </c>
      <c r="S252" s="6" t="s">
        <v>74</v>
      </c>
      <c r="T252" s="10" t="s">
        <v>569</v>
      </c>
      <c r="U252" s="8"/>
      <c r="V252" s="8"/>
    </row>
    <row r="253" spans="1:22" ht="30" customHeight="1" x14ac:dyDescent="0.3">
      <c r="A253" s="19">
        <f t="shared" si="125"/>
        <v>252</v>
      </c>
      <c r="B253" s="371">
        <v>45992</v>
      </c>
      <c r="C253" s="46">
        <v>45931</v>
      </c>
      <c r="D253" s="60" t="s">
        <v>33</v>
      </c>
      <c r="E253" s="310" t="s">
        <v>650</v>
      </c>
      <c r="F253" s="260" t="s">
        <v>37</v>
      </c>
      <c r="G253" s="261">
        <v>36</v>
      </c>
      <c r="H253" s="8" t="s">
        <v>38</v>
      </c>
      <c r="I253" s="24" t="s">
        <v>652</v>
      </c>
      <c r="J253" s="45">
        <f>158333+(190000*3)+109000</f>
        <v>837333</v>
      </c>
      <c r="K253" s="43">
        <f t="shared" si="143"/>
        <v>75360</v>
      </c>
      <c r="L253" s="40">
        <f t="shared" si="144"/>
        <v>75360</v>
      </c>
      <c r="M253" s="40">
        <f t="shared" si="145"/>
        <v>0</v>
      </c>
      <c r="N253" s="41">
        <f t="shared" si="141"/>
        <v>988053</v>
      </c>
      <c r="O253" s="21">
        <f t="shared" si="146"/>
        <v>83733</v>
      </c>
      <c r="P253" s="9">
        <f>O253/J253</f>
        <v>9.99996417196026E-2</v>
      </c>
      <c r="Q253" s="23">
        <v>904320</v>
      </c>
      <c r="R253" s="67">
        <v>45994</v>
      </c>
      <c r="S253" s="6" t="s">
        <v>74</v>
      </c>
      <c r="T253" s="10" t="s">
        <v>124</v>
      </c>
      <c r="U253" s="20"/>
      <c r="V253" s="20"/>
    </row>
    <row r="254" spans="1:22" ht="30" customHeight="1" x14ac:dyDescent="0.3">
      <c r="A254" s="19">
        <f t="shared" si="125"/>
        <v>253</v>
      </c>
      <c r="B254" s="371">
        <v>45992</v>
      </c>
      <c r="C254" s="46">
        <v>45931</v>
      </c>
      <c r="D254" s="60" t="s">
        <v>33</v>
      </c>
      <c r="E254" s="310" t="s">
        <v>651</v>
      </c>
      <c r="F254" s="260" t="s">
        <v>37</v>
      </c>
      <c r="G254" s="261">
        <v>36</v>
      </c>
      <c r="H254" s="8" t="s">
        <v>38</v>
      </c>
      <c r="I254" s="24" t="s">
        <v>653</v>
      </c>
      <c r="J254" s="45">
        <f>(3000*2*3)</f>
        <v>18000</v>
      </c>
      <c r="K254" s="169">
        <f t="shared" si="143"/>
        <v>1620</v>
      </c>
      <c r="L254" s="40">
        <f t="shared" si="144"/>
        <v>1620</v>
      </c>
      <c r="M254" s="40">
        <f t="shared" si="145"/>
        <v>0</v>
      </c>
      <c r="N254" s="41">
        <f t="shared" si="141"/>
        <v>21240</v>
      </c>
      <c r="O254" s="21">
        <f t="shared" si="146"/>
        <v>1800</v>
      </c>
      <c r="P254" s="9">
        <f>O254/J254</f>
        <v>0.1</v>
      </c>
      <c r="Q254" s="23">
        <v>19440</v>
      </c>
      <c r="R254" s="67">
        <v>45994</v>
      </c>
      <c r="S254" s="6" t="s">
        <v>74</v>
      </c>
      <c r="T254" s="10" t="s">
        <v>124</v>
      </c>
      <c r="U254" s="8"/>
      <c r="V254" s="8"/>
    </row>
    <row r="255" spans="1:22" ht="30" customHeight="1" x14ac:dyDescent="0.3">
      <c r="A255" s="19">
        <f t="shared" si="125"/>
        <v>254</v>
      </c>
      <c r="B255" s="371">
        <v>45962</v>
      </c>
      <c r="C255" s="46">
        <v>45919</v>
      </c>
      <c r="D255" s="164" t="s">
        <v>70</v>
      </c>
      <c r="E255" s="322" t="s">
        <v>620</v>
      </c>
      <c r="F255" s="306" t="s">
        <v>626</v>
      </c>
      <c r="G255" s="261">
        <v>24</v>
      </c>
      <c r="H255" s="8" t="s">
        <v>627</v>
      </c>
      <c r="I255" s="24" t="s">
        <v>621</v>
      </c>
      <c r="J255" s="45">
        <v>29814</v>
      </c>
      <c r="K255" s="169">
        <f t="shared" si="143"/>
        <v>0</v>
      </c>
      <c r="L255" s="40">
        <f t="shared" si="144"/>
        <v>0</v>
      </c>
      <c r="M255" s="40">
        <f t="shared" si="145"/>
        <v>5367</v>
      </c>
      <c r="N255" s="41">
        <f t="shared" si="141"/>
        <v>35181</v>
      </c>
      <c r="O255" s="21">
        <f>J255*2%</f>
        <v>596.28</v>
      </c>
      <c r="P255" s="9">
        <f>O255/J255</f>
        <v>0.02</v>
      </c>
      <c r="Q255" s="23">
        <v>144465</v>
      </c>
      <c r="R255" s="67">
        <v>45972</v>
      </c>
      <c r="S255" s="6" t="s">
        <v>74</v>
      </c>
      <c r="T255" s="10" t="s">
        <v>147</v>
      </c>
      <c r="U255" s="8"/>
      <c r="V255" s="8"/>
    </row>
    <row r="256" spans="1:22" ht="30" customHeight="1" x14ac:dyDescent="0.3">
      <c r="A256" s="19">
        <f t="shared" si="125"/>
        <v>255</v>
      </c>
      <c r="B256" s="371">
        <v>45962</v>
      </c>
      <c r="C256" s="46">
        <v>45936</v>
      </c>
      <c r="D256" s="164" t="s">
        <v>70</v>
      </c>
      <c r="E256" s="314" t="s">
        <v>663</v>
      </c>
      <c r="F256" s="306" t="s">
        <v>626</v>
      </c>
      <c r="G256" s="261">
        <v>24</v>
      </c>
      <c r="H256" s="8" t="s">
        <v>627</v>
      </c>
      <c r="I256" s="24" t="s">
        <v>664</v>
      </c>
      <c r="J256" s="45">
        <v>1307655</v>
      </c>
      <c r="K256" s="169">
        <f t="shared" si="143"/>
        <v>0</v>
      </c>
      <c r="L256" s="40">
        <f t="shared" si="144"/>
        <v>0</v>
      </c>
      <c r="M256" s="40">
        <f t="shared" si="145"/>
        <v>235378</v>
      </c>
      <c r="N256" s="41">
        <f>J256+K256+L256+M256</f>
        <v>1543033</v>
      </c>
      <c r="O256" s="21">
        <f>J256*2%</f>
        <v>26153.100000000002</v>
      </c>
      <c r="P256" s="9">
        <f t="shared" ref="P256" si="147">O256/J256</f>
        <v>0.02</v>
      </c>
      <c r="Q256" s="23">
        <v>1300000</v>
      </c>
      <c r="R256" s="67">
        <v>45975</v>
      </c>
      <c r="S256" s="6" t="s">
        <v>74</v>
      </c>
      <c r="T256" s="10" t="s">
        <v>147</v>
      </c>
      <c r="U256" s="8"/>
      <c r="V256" s="8"/>
    </row>
    <row r="257" spans="1:22" ht="30" customHeight="1" x14ac:dyDescent="0.3">
      <c r="A257" s="19">
        <f t="shared" si="125"/>
        <v>256</v>
      </c>
      <c r="B257" s="371">
        <v>45992</v>
      </c>
      <c r="C257" s="46">
        <v>45952</v>
      </c>
      <c r="D257" s="130" t="s">
        <v>129</v>
      </c>
      <c r="E257" s="374" t="s">
        <v>688</v>
      </c>
      <c r="F257" s="130" t="s">
        <v>131</v>
      </c>
      <c r="G257" s="131">
        <v>36</v>
      </c>
      <c r="H257" s="8" t="s">
        <v>51</v>
      </c>
      <c r="I257" s="24" t="s">
        <v>689</v>
      </c>
      <c r="J257" s="45">
        <f>3*200</f>
        <v>600</v>
      </c>
      <c r="K257" s="169">
        <f t="shared" si="143"/>
        <v>54</v>
      </c>
      <c r="L257" s="40">
        <f t="shared" si="144"/>
        <v>54</v>
      </c>
      <c r="M257" s="40">
        <f t="shared" si="145"/>
        <v>0</v>
      </c>
      <c r="N257" s="41">
        <f t="shared" ref="N257:N258" si="148">J257+K257+L257+M257</f>
        <v>708</v>
      </c>
      <c r="O257" s="21">
        <f t="shared" si="146"/>
        <v>60</v>
      </c>
      <c r="P257" s="9">
        <f t="shared" ref="P257:P258" si="149">O257/J257</f>
        <v>0.1</v>
      </c>
      <c r="Q257" s="23">
        <v>648</v>
      </c>
      <c r="R257" s="67">
        <v>45980</v>
      </c>
      <c r="S257" s="6" t="s">
        <v>74</v>
      </c>
      <c r="T257" s="10" t="s">
        <v>147</v>
      </c>
      <c r="U257" s="8"/>
      <c r="V257" s="8"/>
    </row>
    <row r="258" spans="1:22" ht="30" customHeight="1" x14ac:dyDescent="0.3">
      <c r="A258" s="19">
        <f t="shared" si="125"/>
        <v>257</v>
      </c>
      <c r="B258" s="371">
        <v>45992</v>
      </c>
      <c r="C258" s="46">
        <v>45967</v>
      </c>
      <c r="D258" s="334" t="s">
        <v>288</v>
      </c>
      <c r="E258" s="329" t="s">
        <v>711</v>
      </c>
      <c r="F258" s="306" t="s">
        <v>626</v>
      </c>
      <c r="G258" s="261">
        <v>24</v>
      </c>
      <c r="H258" s="8" t="s">
        <v>627</v>
      </c>
      <c r="I258" s="24" t="s">
        <v>712</v>
      </c>
      <c r="J258" s="45">
        <v>5858783</v>
      </c>
      <c r="K258" s="169">
        <f t="shared" si="143"/>
        <v>0</v>
      </c>
      <c r="L258" s="40">
        <f t="shared" si="144"/>
        <v>0</v>
      </c>
      <c r="M258" s="40">
        <f t="shared" si="145"/>
        <v>1054581</v>
      </c>
      <c r="N258" s="41">
        <f t="shared" si="148"/>
        <v>6913364</v>
      </c>
      <c r="O258" s="21">
        <f>J258*2%</f>
        <v>117175.66</v>
      </c>
      <c r="P258" s="9">
        <f t="shared" si="149"/>
        <v>0.02</v>
      </c>
      <c r="Q258" s="23">
        <v>6903088</v>
      </c>
      <c r="R258" s="67">
        <v>45995</v>
      </c>
      <c r="S258" s="6" t="s">
        <v>74</v>
      </c>
      <c r="T258" s="10" t="s">
        <v>147</v>
      </c>
      <c r="U258" s="8"/>
      <c r="V258" s="8"/>
    </row>
    <row r="259" spans="1:22" ht="30" customHeight="1" x14ac:dyDescent="0.3">
      <c r="A259" s="19">
        <f t="shared" si="125"/>
        <v>258</v>
      </c>
      <c r="B259" s="371">
        <v>45992</v>
      </c>
      <c r="C259" s="46">
        <v>45988</v>
      </c>
      <c r="D259" s="146" t="s">
        <v>288</v>
      </c>
      <c r="E259" s="331" t="s">
        <v>757</v>
      </c>
      <c r="F259" s="146" t="s">
        <v>289</v>
      </c>
      <c r="G259" s="147">
        <v>36</v>
      </c>
      <c r="H259" s="8" t="s">
        <v>287</v>
      </c>
      <c r="I259" s="24" t="s">
        <v>762</v>
      </c>
      <c r="J259" s="162">
        <v>529417.99</v>
      </c>
      <c r="K259" s="43">
        <f t="shared" si="143"/>
        <v>47648</v>
      </c>
      <c r="L259" s="40">
        <f t="shared" si="144"/>
        <v>47648</v>
      </c>
      <c r="M259" s="40">
        <f t="shared" si="145"/>
        <v>0</v>
      </c>
      <c r="N259" s="41">
        <f t="shared" ref="N259:N266" si="150">J259+K259+L259+M259</f>
        <v>624713.99</v>
      </c>
      <c r="O259" s="21">
        <f>N259-Q259</f>
        <v>1323.544974999968</v>
      </c>
      <c r="P259" s="9">
        <f>O259/J259</f>
        <v>2.4999999999999393E-3</v>
      </c>
      <c r="Q259" s="23">
        <f>N259-(J259*0.25%)</f>
        <v>623390.44502500002</v>
      </c>
      <c r="R259" s="67">
        <v>45997</v>
      </c>
      <c r="S259" s="6" t="s">
        <v>74</v>
      </c>
      <c r="T259" s="10" t="s">
        <v>322</v>
      </c>
      <c r="U259" s="8"/>
      <c r="V259" s="8"/>
    </row>
    <row r="260" spans="1:22" ht="30" customHeight="1" x14ac:dyDescent="0.3">
      <c r="A260" s="19">
        <f t="shared" si="125"/>
        <v>259</v>
      </c>
      <c r="B260" s="371">
        <v>45992</v>
      </c>
      <c r="C260" s="46">
        <v>45988</v>
      </c>
      <c r="D260" s="146" t="s">
        <v>288</v>
      </c>
      <c r="E260" s="331" t="s">
        <v>758</v>
      </c>
      <c r="F260" s="146" t="s">
        <v>289</v>
      </c>
      <c r="G260" s="147">
        <v>36</v>
      </c>
      <c r="H260" s="8" t="s">
        <v>287</v>
      </c>
      <c r="I260" s="24" t="s">
        <v>763</v>
      </c>
      <c r="J260" s="162">
        <v>144554</v>
      </c>
      <c r="K260" s="43">
        <f t="shared" si="143"/>
        <v>13010</v>
      </c>
      <c r="L260" s="40">
        <f t="shared" si="144"/>
        <v>13010</v>
      </c>
      <c r="M260" s="40">
        <f t="shared" si="145"/>
        <v>0</v>
      </c>
      <c r="N260" s="41">
        <f t="shared" si="150"/>
        <v>170574</v>
      </c>
      <c r="O260" s="21">
        <f>N260-Q260</f>
        <v>361.38500000000931</v>
      </c>
      <c r="P260" s="9">
        <f>O260/J260</f>
        <v>2.5000000000000642E-3</v>
      </c>
      <c r="Q260" s="23">
        <f>N260-(J260*0.25%)</f>
        <v>170212.61499999999</v>
      </c>
      <c r="R260" s="67">
        <v>45997</v>
      </c>
      <c r="S260" s="6" t="s">
        <v>74</v>
      </c>
      <c r="T260" s="10" t="s">
        <v>322</v>
      </c>
      <c r="U260" s="8"/>
      <c r="V260" s="8"/>
    </row>
    <row r="261" spans="1:22" ht="30" customHeight="1" x14ac:dyDescent="0.3">
      <c r="A261" s="19">
        <f t="shared" si="125"/>
        <v>260</v>
      </c>
      <c r="B261" s="371">
        <v>45992</v>
      </c>
      <c r="C261" s="46">
        <v>45988</v>
      </c>
      <c r="D261" s="146" t="s">
        <v>288</v>
      </c>
      <c r="E261" s="331" t="s">
        <v>759</v>
      </c>
      <c r="F261" s="146" t="s">
        <v>289</v>
      </c>
      <c r="G261" s="147">
        <v>36</v>
      </c>
      <c r="H261" s="8" t="s">
        <v>287</v>
      </c>
      <c r="I261" s="24" t="s">
        <v>762</v>
      </c>
      <c r="J261" s="162">
        <v>160287</v>
      </c>
      <c r="K261" s="43">
        <f t="shared" si="143"/>
        <v>14426</v>
      </c>
      <c r="L261" s="40">
        <f t="shared" si="144"/>
        <v>14426</v>
      </c>
      <c r="M261" s="40">
        <f t="shared" si="145"/>
        <v>0</v>
      </c>
      <c r="N261" s="41">
        <f t="shared" si="150"/>
        <v>189139</v>
      </c>
      <c r="O261" s="21">
        <f>N261-Q261</f>
        <v>400.71749999999884</v>
      </c>
      <c r="P261" s="9">
        <f>O261/J261</f>
        <v>2.4999999999999927E-3</v>
      </c>
      <c r="Q261" s="23">
        <f>N261-(J261*0.25%)</f>
        <v>188738.2825</v>
      </c>
      <c r="R261" s="67">
        <v>45997</v>
      </c>
      <c r="S261" s="6" t="s">
        <v>74</v>
      </c>
      <c r="T261" s="10" t="s">
        <v>322</v>
      </c>
      <c r="U261" s="8"/>
      <c r="V261" s="8"/>
    </row>
    <row r="262" spans="1:22" ht="30" customHeight="1" x14ac:dyDescent="0.3">
      <c r="A262" s="19">
        <f t="shared" si="125"/>
        <v>261</v>
      </c>
      <c r="B262" s="371">
        <v>45992</v>
      </c>
      <c r="C262" s="46">
        <v>45979</v>
      </c>
      <c r="D262" s="144" t="s">
        <v>129</v>
      </c>
      <c r="E262" s="331" t="s">
        <v>750</v>
      </c>
      <c r="F262" s="144" t="s">
        <v>164</v>
      </c>
      <c r="G262" s="145">
        <v>36</v>
      </c>
      <c r="H262" s="8" t="s">
        <v>28</v>
      </c>
      <c r="I262" s="24" t="s">
        <v>755</v>
      </c>
      <c r="J262" s="45">
        <f>118*200</f>
        <v>23600</v>
      </c>
      <c r="K262" s="139">
        <f>ROUND(IF(G262=36,J262*9%,0),0)</f>
        <v>2124</v>
      </c>
      <c r="L262" s="40">
        <f t="shared" si="144"/>
        <v>2124</v>
      </c>
      <c r="M262" s="40">
        <f t="shared" si="145"/>
        <v>0</v>
      </c>
      <c r="N262" s="41">
        <f t="shared" si="150"/>
        <v>27848</v>
      </c>
      <c r="O262" s="21">
        <f t="shared" ref="O262:O265" si="151">N262-Q262</f>
        <v>2360</v>
      </c>
      <c r="P262" s="9">
        <f t="shared" ref="P262:P265" si="152">O262/J262</f>
        <v>0.1</v>
      </c>
      <c r="Q262" s="23">
        <v>25488</v>
      </c>
      <c r="R262" s="67">
        <v>46001</v>
      </c>
      <c r="S262" s="6" t="s">
        <v>74</v>
      </c>
      <c r="T262" s="10" t="s">
        <v>251</v>
      </c>
      <c r="U262" s="8"/>
      <c r="V262" s="8"/>
    </row>
    <row r="263" spans="1:22" ht="30" customHeight="1" x14ac:dyDescent="0.3">
      <c r="A263" s="19">
        <f t="shared" si="125"/>
        <v>262</v>
      </c>
      <c r="B263" s="371">
        <v>45992</v>
      </c>
      <c r="C263" s="46">
        <v>45979</v>
      </c>
      <c r="D263" s="144" t="s">
        <v>129</v>
      </c>
      <c r="E263" s="331" t="s">
        <v>751</v>
      </c>
      <c r="F263" s="144" t="s">
        <v>165</v>
      </c>
      <c r="G263" s="145">
        <v>36</v>
      </c>
      <c r="H263" s="8" t="s">
        <v>26</v>
      </c>
      <c r="I263" s="24" t="s">
        <v>755</v>
      </c>
      <c r="J263" s="45">
        <f>134*200</f>
        <v>26800</v>
      </c>
      <c r="K263" s="139">
        <f t="shared" ref="K263:K266" si="153">ROUND(IF(G263=36,J263*9%,0),0)</f>
        <v>2412</v>
      </c>
      <c r="L263" s="40">
        <f t="shared" si="144"/>
        <v>2412</v>
      </c>
      <c r="M263" s="40">
        <f t="shared" si="145"/>
        <v>0</v>
      </c>
      <c r="N263" s="41">
        <f t="shared" si="150"/>
        <v>31624</v>
      </c>
      <c r="O263" s="21">
        <f t="shared" si="151"/>
        <v>2680</v>
      </c>
      <c r="P263" s="9">
        <f t="shared" si="152"/>
        <v>0.1</v>
      </c>
      <c r="Q263" s="23">
        <v>28944</v>
      </c>
      <c r="R263" s="67">
        <v>46001</v>
      </c>
      <c r="S263" s="6" t="s">
        <v>74</v>
      </c>
      <c r="T263" s="10" t="s">
        <v>251</v>
      </c>
      <c r="U263" s="8"/>
      <c r="V263" s="8"/>
    </row>
    <row r="264" spans="1:22" ht="30" customHeight="1" x14ac:dyDescent="0.3">
      <c r="A264" s="19">
        <f t="shared" si="125"/>
        <v>263</v>
      </c>
      <c r="B264" s="371">
        <v>45992</v>
      </c>
      <c r="C264" s="46">
        <v>45979</v>
      </c>
      <c r="D264" s="144" t="s">
        <v>129</v>
      </c>
      <c r="E264" s="331" t="s">
        <v>752</v>
      </c>
      <c r="F264" s="144" t="s">
        <v>166</v>
      </c>
      <c r="G264" s="145">
        <v>36</v>
      </c>
      <c r="H264" s="8" t="s">
        <v>27</v>
      </c>
      <c r="I264" s="24" t="s">
        <v>755</v>
      </c>
      <c r="J264" s="45">
        <f>102*200</f>
        <v>20400</v>
      </c>
      <c r="K264" s="139">
        <f t="shared" si="153"/>
        <v>1836</v>
      </c>
      <c r="L264" s="40">
        <f t="shared" si="144"/>
        <v>1836</v>
      </c>
      <c r="M264" s="40">
        <f t="shared" si="145"/>
        <v>0</v>
      </c>
      <c r="N264" s="41">
        <f t="shared" si="150"/>
        <v>24072</v>
      </c>
      <c r="O264" s="21">
        <f t="shared" si="151"/>
        <v>2040</v>
      </c>
      <c r="P264" s="9">
        <f t="shared" si="152"/>
        <v>0.1</v>
      </c>
      <c r="Q264" s="23">
        <v>22032</v>
      </c>
      <c r="R264" s="67">
        <v>46001</v>
      </c>
      <c r="S264" s="6" t="s">
        <v>74</v>
      </c>
      <c r="T264" s="10" t="s">
        <v>251</v>
      </c>
      <c r="U264" s="8"/>
      <c r="V264" s="8"/>
    </row>
    <row r="265" spans="1:22" ht="30" customHeight="1" x14ac:dyDescent="0.3">
      <c r="A265" s="19">
        <f t="shared" si="125"/>
        <v>264</v>
      </c>
      <c r="B265" s="371">
        <v>45992</v>
      </c>
      <c r="C265" s="356">
        <v>45979</v>
      </c>
      <c r="D265" s="357" t="s">
        <v>129</v>
      </c>
      <c r="E265" s="358" t="s">
        <v>753</v>
      </c>
      <c r="F265" s="357" t="s">
        <v>167</v>
      </c>
      <c r="G265" s="359">
        <v>36</v>
      </c>
      <c r="H265" s="360" t="s">
        <v>31</v>
      </c>
      <c r="I265" s="361" t="s">
        <v>755</v>
      </c>
      <c r="J265" s="362">
        <f>116*200</f>
        <v>23200</v>
      </c>
      <c r="K265" s="363">
        <f t="shared" si="153"/>
        <v>2088</v>
      </c>
      <c r="L265" s="364">
        <f t="shared" si="144"/>
        <v>2088</v>
      </c>
      <c r="M265" s="364">
        <f t="shared" si="145"/>
        <v>0</v>
      </c>
      <c r="N265" s="365">
        <f t="shared" si="150"/>
        <v>27376</v>
      </c>
      <c r="O265" s="21">
        <f t="shared" si="151"/>
        <v>2320</v>
      </c>
      <c r="P265" s="9">
        <f t="shared" si="152"/>
        <v>0.1</v>
      </c>
      <c r="Q265" s="366">
        <v>25056</v>
      </c>
      <c r="R265" s="67">
        <v>46001</v>
      </c>
      <c r="S265" s="6" t="s">
        <v>74</v>
      </c>
      <c r="T265" s="10" t="s">
        <v>251</v>
      </c>
      <c r="U265" s="8"/>
      <c r="V265" s="8"/>
    </row>
    <row r="266" spans="1:22" ht="30" customHeight="1" x14ac:dyDescent="0.3">
      <c r="A266" s="19">
        <f t="shared" si="125"/>
        <v>265</v>
      </c>
      <c r="B266" s="371">
        <v>45992</v>
      </c>
      <c r="C266" s="46">
        <v>45952</v>
      </c>
      <c r="D266" s="130" t="s">
        <v>129</v>
      </c>
      <c r="E266" s="321" t="s">
        <v>687</v>
      </c>
      <c r="F266" s="130" t="s">
        <v>146</v>
      </c>
      <c r="G266" s="131">
        <v>36</v>
      </c>
      <c r="H266" s="8" t="s">
        <v>52</v>
      </c>
      <c r="I266" s="24" t="s">
        <v>689</v>
      </c>
      <c r="J266" s="45">
        <f>96*200</f>
        <v>19200</v>
      </c>
      <c r="K266" s="169">
        <f t="shared" si="153"/>
        <v>1728</v>
      </c>
      <c r="L266" s="40">
        <f t="shared" si="144"/>
        <v>1728</v>
      </c>
      <c r="M266" s="40">
        <f t="shared" si="145"/>
        <v>0</v>
      </c>
      <c r="N266" s="41">
        <f t="shared" si="150"/>
        <v>22656</v>
      </c>
      <c r="O266" s="21">
        <v>1920</v>
      </c>
      <c r="P266" s="9">
        <f t="shared" ref="P266:P273" si="154">O266/J266</f>
        <v>0.1</v>
      </c>
      <c r="Q266" s="23">
        <v>20736</v>
      </c>
      <c r="R266" s="67">
        <v>46009</v>
      </c>
      <c r="S266" s="6" t="s">
        <v>74</v>
      </c>
      <c r="T266" s="10" t="s">
        <v>147</v>
      </c>
      <c r="U266" s="8"/>
      <c r="V266" s="8"/>
    </row>
    <row r="267" spans="1:22" ht="30" customHeight="1" x14ac:dyDescent="0.3">
      <c r="A267" s="19">
        <f t="shared" si="125"/>
        <v>266</v>
      </c>
      <c r="B267" s="371">
        <v>45992</v>
      </c>
      <c r="C267" s="46">
        <v>45979</v>
      </c>
      <c r="D267" s="334" t="s">
        <v>746</v>
      </c>
      <c r="E267" s="331" t="s">
        <v>723</v>
      </c>
      <c r="F267" s="331" t="s">
        <v>724</v>
      </c>
      <c r="G267" s="147">
        <v>6</v>
      </c>
      <c r="H267" s="8" t="s">
        <v>722</v>
      </c>
      <c r="I267" s="24" t="s">
        <v>747</v>
      </c>
      <c r="J267" s="162">
        <f>5750*4</f>
        <v>23000</v>
      </c>
      <c r="K267" s="169">
        <f>ROUND(IF(G267=36,J267*9%,0),0)</f>
        <v>0</v>
      </c>
      <c r="L267" s="40">
        <f>ROUND(IF(G267=36,J267*9%,0),0)</f>
        <v>0</v>
      </c>
      <c r="M267" s="40">
        <f>ROUND(IF(G267=36,J267*0%,J267*18%),0)</f>
        <v>4140</v>
      </c>
      <c r="N267" s="41">
        <f>J267+K267+L267+M267</f>
        <v>27140</v>
      </c>
      <c r="O267" s="21">
        <v>2300</v>
      </c>
      <c r="P267" s="9">
        <f t="shared" si="154"/>
        <v>0.1</v>
      </c>
      <c r="Q267" s="23">
        <v>24840</v>
      </c>
      <c r="R267" s="67">
        <v>46010</v>
      </c>
      <c r="S267" s="6" t="s">
        <v>74</v>
      </c>
      <c r="T267" s="10" t="s">
        <v>790</v>
      </c>
      <c r="U267" s="8"/>
      <c r="V267" s="8"/>
    </row>
    <row r="268" spans="1:22" ht="30" customHeight="1" x14ac:dyDescent="0.3">
      <c r="A268" s="19">
        <f t="shared" si="125"/>
        <v>267</v>
      </c>
      <c r="B268" s="371">
        <v>45992</v>
      </c>
      <c r="C268" s="46">
        <v>45846</v>
      </c>
      <c r="D268" s="60" t="s">
        <v>33</v>
      </c>
      <c r="E268" s="376" t="s">
        <v>499</v>
      </c>
      <c r="F268" s="260" t="s">
        <v>37</v>
      </c>
      <c r="G268" s="261">
        <v>36</v>
      </c>
      <c r="H268" s="8" t="s">
        <v>38</v>
      </c>
      <c r="I268" s="24" t="s">
        <v>502</v>
      </c>
      <c r="J268" s="45">
        <f>((109000*1)+133333+(158333*4))</f>
        <v>875665</v>
      </c>
      <c r="K268" s="43">
        <f t="shared" ref="K268:K269" si="155">ROUND(IF(G268=36,J268*9%,0),0)</f>
        <v>78810</v>
      </c>
      <c r="L268" s="40">
        <f t="shared" ref="L268:L269" si="156">ROUND(IF(G268=36,J268*9%,0),0)</f>
        <v>78810</v>
      </c>
      <c r="M268" s="40">
        <f t="shared" ref="M268:M269" si="157">ROUND(IF(G268=36,J268*0%,J268*18%),0)</f>
        <v>0</v>
      </c>
      <c r="N268" s="41">
        <f t="shared" ref="N268:N269" si="158">J268+K268+L268+M268</f>
        <v>1033285</v>
      </c>
      <c r="O268" s="21">
        <f>N268-Q268</f>
        <v>87567</v>
      </c>
      <c r="P268" s="9">
        <f t="shared" si="154"/>
        <v>0.10000057099461553</v>
      </c>
      <c r="Q268" s="23">
        <v>945718</v>
      </c>
      <c r="R268" s="67">
        <v>46015</v>
      </c>
      <c r="S268" s="6" t="s">
        <v>74</v>
      </c>
      <c r="T268" s="10" t="s">
        <v>124</v>
      </c>
      <c r="U268" s="8"/>
      <c r="V268" s="8"/>
    </row>
    <row r="269" spans="1:22" ht="30" customHeight="1" x14ac:dyDescent="0.3">
      <c r="A269" s="19">
        <f t="shared" si="125"/>
        <v>268</v>
      </c>
      <c r="B269" s="370" t="s">
        <v>764</v>
      </c>
      <c r="C269" s="46">
        <v>45992</v>
      </c>
      <c r="D269" s="164" t="s">
        <v>70</v>
      </c>
      <c r="E269" s="376" t="s">
        <v>766</v>
      </c>
      <c r="F269" s="260" t="s">
        <v>134</v>
      </c>
      <c r="G269" s="261">
        <v>10</v>
      </c>
      <c r="H269" s="8" t="s">
        <v>39</v>
      </c>
      <c r="I269" s="24" t="s">
        <v>767</v>
      </c>
      <c r="J269" s="162">
        <v>60709</v>
      </c>
      <c r="K269" s="43">
        <f t="shared" si="155"/>
        <v>0</v>
      </c>
      <c r="L269" s="40">
        <f t="shared" si="156"/>
        <v>0</v>
      </c>
      <c r="M269" s="40">
        <f t="shared" si="157"/>
        <v>10928</v>
      </c>
      <c r="N269" s="41">
        <f t="shared" si="158"/>
        <v>71637</v>
      </c>
      <c r="O269" s="49">
        <f>N269-Q269</f>
        <v>-80.910000000003492</v>
      </c>
      <c r="P269" s="9">
        <f t="shared" si="154"/>
        <v>-1.3327513218798447E-3</v>
      </c>
      <c r="Q269" s="386">
        <f>60790.23+10927.68</f>
        <v>71717.91</v>
      </c>
      <c r="R269" s="391" t="s">
        <v>875</v>
      </c>
      <c r="S269" s="6" t="s">
        <v>74</v>
      </c>
      <c r="T269" s="10" t="s">
        <v>136</v>
      </c>
      <c r="U269" s="8"/>
      <c r="V269" s="8"/>
    </row>
    <row r="270" spans="1:22" ht="30" customHeight="1" x14ac:dyDescent="0.3">
      <c r="A270" s="19">
        <f t="shared" si="125"/>
        <v>269</v>
      </c>
      <c r="B270" s="370" t="s">
        <v>764</v>
      </c>
      <c r="C270" s="46">
        <v>45993</v>
      </c>
      <c r="D270" s="46" t="s">
        <v>33</v>
      </c>
      <c r="E270" s="331" t="s">
        <v>768</v>
      </c>
      <c r="F270" s="260" t="s">
        <v>34</v>
      </c>
      <c r="G270" s="147">
        <v>36</v>
      </c>
      <c r="H270" s="8" t="s">
        <v>55</v>
      </c>
      <c r="I270" s="24" t="s">
        <v>772</v>
      </c>
      <c r="J270" s="45">
        <f>(72050*23)+(53350*1)+(99751*8)</f>
        <v>2508508</v>
      </c>
      <c r="K270" s="148">
        <f t="shared" ref="K270:K272" si="159">ROUND(IF(G270=36,J270*9%,0),0)</f>
        <v>225766</v>
      </c>
      <c r="L270" s="40">
        <f t="shared" ref="L270:L272" si="160">ROUND(IF(G270=36,J270*9%,0),0)</f>
        <v>225766</v>
      </c>
      <c r="M270" s="40">
        <f t="shared" ref="M270:M272" si="161">ROUND(IF(G270=36,J270*0%,J270*18%),0)</f>
        <v>0</v>
      </c>
      <c r="N270" s="41">
        <f t="shared" ref="N270:N272" si="162">J270+K270+L270+M270</f>
        <v>2960040</v>
      </c>
      <c r="O270" s="49">
        <v>6271</v>
      </c>
      <c r="P270" s="9">
        <f t="shared" si="154"/>
        <v>2.4998923662990112E-3</v>
      </c>
      <c r="Q270" s="23">
        <v>2953769</v>
      </c>
      <c r="R270" s="67">
        <v>46021</v>
      </c>
      <c r="S270" s="6" t="s">
        <v>74</v>
      </c>
      <c r="T270" s="10" t="s">
        <v>124</v>
      </c>
      <c r="U270" s="8"/>
      <c r="V270" s="8"/>
    </row>
    <row r="271" spans="1:22" ht="30" customHeight="1" x14ac:dyDescent="0.3">
      <c r="A271" s="19">
        <f t="shared" si="125"/>
        <v>270</v>
      </c>
      <c r="B271" s="370" t="s">
        <v>764</v>
      </c>
      <c r="C271" s="46">
        <v>45993</v>
      </c>
      <c r="D271" s="46" t="s">
        <v>33</v>
      </c>
      <c r="E271" s="331" t="s">
        <v>769</v>
      </c>
      <c r="F271" s="260" t="s">
        <v>34</v>
      </c>
      <c r="G271" s="147">
        <v>36</v>
      </c>
      <c r="H271" s="8" t="s">
        <v>55</v>
      </c>
      <c r="I271" s="24" t="s">
        <v>773</v>
      </c>
      <c r="J271" s="162">
        <v>20052</v>
      </c>
      <c r="K271" s="148">
        <f t="shared" si="159"/>
        <v>1805</v>
      </c>
      <c r="L271" s="40">
        <f t="shared" si="160"/>
        <v>1805</v>
      </c>
      <c r="M271" s="40">
        <f t="shared" si="161"/>
        <v>0</v>
      </c>
      <c r="N271" s="41">
        <f t="shared" si="162"/>
        <v>23662</v>
      </c>
      <c r="O271" s="49">
        <v>50</v>
      </c>
      <c r="P271" s="9">
        <f t="shared" si="154"/>
        <v>2.4935168561739476E-3</v>
      </c>
      <c r="Q271" s="23">
        <v>23612</v>
      </c>
      <c r="R271" s="67">
        <v>46021</v>
      </c>
      <c r="S271" s="6" t="s">
        <v>74</v>
      </c>
      <c r="T271" s="10" t="s">
        <v>124</v>
      </c>
      <c r="U271" s="8"/>
      <c r="V271" s="8"/>
    </row>
    <row r="272" spans="1:22" ht="30" customHeight="1" x14ac:dyDescent="0.3">
      <c r="A272" s="19">
        <f t="shared" si="125"/>
        <v>271</v>
      </c>
      <c r="B272" s="370" t="s">
        <v>764</v>
      </c>
      <c r="C272" s="46">
        <v>45993</v>
      </c>
      <c r="D272" s="46" t="s">
        <v>33</v>
      </c>
      <c r="E272" s="331" t="s">
        <v>770</v>
      </c>
      <c r="F272" s="260" t="s">
        <v>34</v>
      </c>
      <c r="G272" s="261">
        <v>36</v>
      </c>
      <c r="H272" s="8" t="s">
        <v>55</v>
      </c>
      <c r="I272" s="24" t="s">
        <v>774</v>
      </c>
      <c r="J272" s="162">
        <v>89000</v>
      </c>
      <c r="K272" s="148">
        <f t="shared" si="159"/>
        <v>8010</v>
      </c>
      <c r="L272" s="40">
        <f t="shared" si="160"/>
        <v>8010</v>
      </c>
      <c r="M272" s="40">
        <f t="shared" si="161"/>
        <v>0</v>
      </c>
      <c r="N272" s="41">
        <f t="shared" si="162"/>
        <v>105020</v>
      </c>
      <c r="O272" s="49">
        <v>223</v>
      </c>
      <c r="P272" s="9">
        <f t="shared" si="154"/>
        <v>2.5056179775280901E-3</v>
      </c>
      <c r="Q272" s="23">
        <v>104797</v>
      </c>
      <c r="R272" s="67">
        <v>46021</v>
      </c>
      <c r="S272" s="6" t="s">
        <v>74</v>
      </c>
      <c r="T272" s="10" t="s">
        <v>124</v>
      </c>
      <c r="U272" s="8"/>
      <c r="V272" s="8"/>
    </row>
    <row r="273" spans="1:22" ht="30" customHeight="1" x14ac:dyDescent="0.3">
      <c r="A273" s="19">
        <f t="shared" si="125"/>
        <v>272</v>
      </c>
      <c r="B273" s="370" t="s">
        <v>764</v>
      </c>
      <c r="C273" s="46">
        <v>45992</v>
      </c>
      <c r="D273" s="164" t="s">
        <v>70</v>
      </c>
      <c r="E273" s="331" t="s">
        <v>765</v>
      </c>
      <c r="F273" s="260" t="s">
        <v>134</v>
      </c>
      <c r="G273" s="261">
        <v>10</v>
      </c>
      <c r="H273" s="8" t="s">
        <v>39</v>
      </c>
      <c r="I273" s="24" t="s">
        <v>767</v>
      </c>
      <c r="J273" s="162">
        <v>39001</v>
      </c>
      <c r="K273" s="43">
        <f t="shared" ref="K273:K310" si="163">ROUND(IF(G273=36,J273*9%,0),0)</f>
        <v>0</v>
      </c>
      <c r="L273" s="40">
        <f t="shared" ref="L273:L310" si="164">ROUND(IF(G273=36,J273*9%,0),0)</f>
        <v>0</v>
      </c>
      <c r="M273" s="40">
        <f t="shared" ref="M273:M279" si="165">ROUND(IF(G273=36,J273*0%,J273*18%),0)</f>
        <v>7020</v>
      </c>
      <c r="N273" s="41">
        <f t="shared" ref="N273:N279" si="166">J273+K273+L273+M273</f>
        <v>46021</v>
      </c>
      <c r="O273" s="49">
        <f>N273-Q273</f>
        <v>11708.68</v>
      </c>
      <c r="P273" s="9">
        <f t="shared" si="154"/>
        <v>0.30021486628547989</v>
      </c>
      <c r="Q273" s="49">
        <f>27292.32+7020</f>
        <v>34312.32</v>
      </c>
      <c r="R273" s="391" t="s">
        <v>876</v>
      </c>
      <c r="S273" s="6" t="s">
        <v>74</v>
      </c>
      <c r="T273" s="10" t="s">
        <v>136</v>
      </c>
      <c r="V273" s="8"/>
    </row>
    <row r="274" spans="1:22" ht="30" customHeight="1" x14ac:dyDescent="0.3">
      <c r="A274" s="19">
        <f t="shared" si="125"/>
        <v>273</v>
      </c>
      <c r="B274" s="370" t="s">
        <v>764</v>
      </c>
      <c r="C274" s="46">
        <v>46002</v>
      </c>
      <c r="D274" s="167" t="s">
        <v>70</v>
      </c>
      <c r="E274" s="331" t="s">
        <v>778</v>
      </c>
      <c r="F274" s="167" t="s">
        <v>138</v>
      </c>
      <c r="G274" s="168">
        <v>36</v>
      </c>
      <c r="H274" s="8" t="s">
        <v>49</v>
      </c>
      <c r="I274" s="24" t="s">
        <v>782</v>
      </c>
      <c r="J274" s="39">
        <v>27767674</v>
      </c>
      <c r="K274" s="169">
        <f t="shared" si="163"/>
        <v>2499091</v>
      </c>
      <c r="L274" s="40">
        <f t="shared" si="164"/>
        <v>2499091</v>
      </c>
      <c r="M274" s="40">
        <f t="shared" si="165"/>
        <v>0</v>
      </c>
      <c r="N274" s="41">
        <f t="shared" si="166"/>
        <v>32765856</v>
      </c>
      <c r="O274" s="379">
        <v>69419</v>
      </c>
      <c r="P274" s="9">
        <f t="shared" ref="P274:P278" si="167">O274/J274</f>
        <v>2.4999933375766366E-3</v>
      </c>
      <c r="Q274" s="379">
        <v>32696436.32</v>
      </c>
      <c r="R274" s="67">
        <v>46021</v>
      </c>
      <c r="S274" s="6" t="s">
        <v>74</v>
      </c>
      <c r="T274" s="10" t="s">
        <v>96</v>
      </c>
      <c r="U274" s="8"/>
      <c r="V274" s="8"/>
    </row>
    <row r="275" spans="1:22" ht="30" customHeight="1" x14ac:dyDescent="0.3">
      <c r="A275" s="19">
        <f t="shared" si="125"/>
        <v>274</v>
      </c>
      <c r="B275" s="370" t="s">
        <v>764</v>
      </c>
      <c r="C275" s="46">
        <v>46002</v>
      </c>
      <c r="D275" s="167" t="s">
        <v>70</v>
      </c>
      <c r="E275" s="331" t="s">
        <v>779</v>
      </c>
      <c r="F275" s="167" t="s">
        <v>138</v>
      </c>
      <c r="G275" s="168">
        <v>36</v>
      </c>
      <c r="H275" s="8" t="s">
        <v>49</v>
      </c>
      <c r="I275" s="24" t="s">
        <v>784</v>
      </c>
      <c r="J275" s="39">
        <v>548277</v>
      </c>
      <c r="K275" s="169">
        <f t="shared" si="163"/>
        <v>49345</v>
      </c>
      <c r="L275" s="40">
        <f t="shared" si="164"/>
        <v>49345</v>
      </c>
      <c r="M275" s="40">
        <f t="shared" si="165"/>
        <v>0</v>
      </c>
      <c r="N275" s="41">
        <f t="shared" si="166"/>
        <v>646967</v>
      </c>
      <c r="O275" s="49">
        <v>1371</v>
      </c>
      <c r="P275" s="9">
        <f t="shared" si="167"/>
        <v>2.5005608478925797E-3</v>
      </c>
      <c r="Q275" s="379">
        <v>645595.86</v>
      </c>
      <c r="R275" s="67">
        <v>46021</v>
      </c>
      <c r="S275" s="6" t="s">
        <v>74</v>
      </c>
      <c r="T275" s="10" t="s">
        <v>96</v>
      </c>
      <c r="U275" s="8"/>
      <c r="V275" s="8"/>
    </row>
    <row r="276" spans="1:22" ht="30" customHeight="1" x14ac:dyDescent="0.3">
      <c r="A276" s="19">
        <f t="shared" si="125"/>
        <v>275</v>
      </c>
      <c r="B276" s="370" t="s">
        <v>764</v>
      </c>
      <c r="C276" s="46">
        <v>46002</v>
      </c>
      <c r="D276" s="167" t="s">
        <v>70</v>
      </c>
      <c r="E276" s="331" t="s">
        <v>780</v>
      </c>
      <c r="F276" s="167" t="s">
        <v>138</v>
      </c>
      <c r="G276" s="168">
        <v>36</v>
      </c>
      <c r="H276" s="8" t="s">
        <v>49</v>
      </c>
      <c r="I276" s="24" t="s">
        <v>785</v>
      </c>
      <c r="J276" s="39">
        <v>866740</v>
      </c>
      <c r="K276" s="169">
        <f t="shared" si="163"/>
        <v>78007</v>
      </c>
      <c r="L276" s="40">
        <f t="shared" si="164"/>
        <v>78007</v>
      </c>
      <c r="M276" s="40">
        <f t="shared" si="165"/>
        <v>0</v>
      </c>
      <c r="N276" s="41">
        <f t="shared" si="166"/>
        <v>1022754</v>
      </c>
      <c r="O276" s="379">
        <v>2167</v>
      </c>
      <c r="P276" s="9">
        <f t="shared" si="167"/>
        <v>2.5001730622793458E-3</v>
      </c>
      <c r="Q276" s="49">
        <v>1020586.2</v>
      </c>
      <c r="R276" s="67">
        <v>46021</v>
      </c>
      <c r="S276" s="6" t="s">
        <v>74</v>
      </c>
      <c r="T276" s="10" t="s">
        <v>96</v>
      </c>
      <c r="U276" s="8"/>
      <c r="V276" s="8"/>
    </row>
    <row r="277" spans="1:22" ht="30" customHeight="1" x14ac:dyDescent="0.3">
      <c r="A277" s="19">
        <f t="shared" si="125"/>
        <v>276</v>
      </c>
      <c r="B277" s="370" t="s">
        <v>764</v>
      </c>
      <c r="C277" s="46">
        <v>46002</v>
      </c>
      <c r="D277" s="167" t="s">
        <v>70</v>
      </c>
      <c r="E277" s="331" t="s">
        <v>781</v>
      </c>
      <c r="F277" s="167" t="s">
        <v>138</v>
      </c>
      <c r="G277" s="168">
        <v>36</v>
      </c>
      <c r="H277" s="8" t="s">
        <v>49</v>
      </c>
      <c r="I277" s="24" t="s">
        <v>786</v>
      </c>
      <c r="J277" s="39">
        <v>695098</v>
      </c>
      <c r="K277" s="169">
        <f t="shared" si="163"/>
        <v>62559</v>
      </c>
      <c r="L277" s="40">
        <f t="shared" si="164"/>
        <v>62559</v>
      </c>
      <c r="M277" s="40">
        <f t="shared" si="165"/>
        <v>0</v>
      </c>
      <c r="N277" s="41">
        <f t="shared" si="166"/>
        <v>820216</v>
      </c>
      <c r="O277" s="379">
        <v>1738</v>
      </c>
      <c r="P277" s="9">
        <f t="shared" si="167"/>
        <v>2.5003668547456618E-3</v>
      </c>
      <c r="Q277" s="379">
        <v>818477.64</v>
      </c>
      <c r="R277" s="67">
        <v>46021</v>
      </c>
      <c r="S277" s="6" t="s">
        <v>74</v>
      </c>
      <c r="T277" s="10" t="s">
        <v>96</v>
      </c>
      <c r="U277" s="8"/>
      <c r="V277" s="8"/>
    </row>
    <row r="278" spans="1:22" ht="30" customHeight="1" x14ac:dyDescent="0.3">
      <c r="A278" s="19">
        <f t="shared" ref="A278:A325" si="168">A277+1</f>
        <v>277</v>
      </c>
      <c r="B278" s="370" t="s">
        <v>764</v>
      </c>
      <c r="C278" s="46">
        <v>46002</v>
      </c>
      <c r="D278" s="167" t="s">
        <v>70</v>
      </c>
      <c r="E278" s="331" t="s">
        <v>783</v>
      </c>
      <c r="F278" s="167" t="s">
        <v>138</v>
      </c>
      <c r="G278" s="168">
        <v>36</v>
      </c>
      <c r="H278" s="8" t="s">
        <v>49</v>
      </c>
      <c r="I278" s="24" t="s">
        <v>787</v>
      </c>
      <c r="J278" s="39">
        <v>60248</v>
      </c>
      <c r="K278" s="169">
        <f t="shared" si="163"/>
        <v>5422</v>
      </c>
      <c r="L278" s="40">
        <f t="shared" si="164"/>
        <v>5422</v>
      </c>
      <c r="M278" s="40">
        <f t="shared" si="165"/>
        <v>0</v>
      </c>
      <c r="N278" s="41">
        <f t="shared" si="166"/>
        <v>71092</v>
      </c>
      <c r="O278" s="8">
        <v>151</v>
      </c>
      <c r="P278" s="9">
        <f t="shared" si="167"/>
        <v>2.5063072633116452E-3</v>
      </c>
      <c r="Q278" s="379">
        <v>70941.64</v>
      </c>
      <c r="R278" s="67">
        <v>46021</v>
      </c>
      <c r="S278" s="6" t="s">
        <v>74</v>
      </c>
      <c r="T278" s="10" t="s">
        <v>96</v>
      </c>
      <c r="U278" s="8"/>
      <c r="V278" s="8"/>
    </row>
    <row r="279" spans="1:22" ht="30" customHeight="1" x14ac:dyDescent="0.3">
      <c r="A279" s="19">
        <f t="shared" si="168"/>
        <v>278</v>
      </c>
      <c r="B279" s="370" t="s">
        <v>764</v>
      </c>
      <c r="C279" s="46">
        <v>46020</v>
      </c>
      <c r="D279" s="75" t="s">
        <v>70</v>
      </c>
      <c r="E279" s="376" t="s">
        <v>798</v>
      </c>
      <c r="F279" s="331" t="s">
        <v>126</v>
      </c>
      <c r="G279" s="261">
        <v>24</v>
      </c>
      <c r="H279" s="8" t="s">
        <v>125</v>
      </c>
      <c r="I279" s="24" t="s">
        <v>799</v>
      </c>
      <c r="J279" s="45">
        <v>12351094</v>
      </c>
      <c r="K279" s="43">
        <f t="shared" si="163"/>
        <v>0</v>
      </c>
      <c r="L279" s="40">
        <f t="shared" si="164"/>
        <v>0</v>
      </c>
      <c r="M279" s="40">
        <f t="shared" si="165"/>
        <v>2223197</v>
      </c>
      <c r="N279" s="41">
        <f t="shared" si="166"/>
        <v>14574291</v>
      </c>
      <c r="O279" s="378">
        <f>N279-Q279</f>
        <v>247022.08000000007</v>
      </c>
      <c r="P279" s="9">
        <f>O279/J279</f>
        <v>2.0000016192897575E-2</v>
      </c>
      <c r="Q279" s="379">
        <v>14327268.92</v>
      </c>
      <c r="R279" s="67">
        <v>46022</v>
      </c>
      <c r="S279" s="6" t="s">
        <v>74</v>
      </c>
      <c r="T279" s="10" t="s">
        <v>569</v>
      </c>
      <c r="U279" s="8"/>
      <c r="V279" s="8"/>
    </row>
    <row r="280" spans="1:22" ht="30" customHeight="1" x14ac:dyDescent="0.3">
      <c r="A280" s="19">
        <f t="shared" si="168"/>
        <v>279</v>
      </c>
      <c r="B280" s="370" t="s">
        <v>764</v>
      </c>
      <c r="C280" s="46">
        <v>46018</v>
      </c>
      <c r="D280" s="146" t="s">
        <v>288</v>
      </c>
      <c r="E280" s="376" t="s">
        <v>794</v>
      </c>
      <c r="F280" s="146" t="s">
        <v>289</v>
      </c>
      <c r="G280" s="147">
        <v>36</v>
      </c>
      <c r="H280" s="8" t="s">
        <v>287</v>
      </c>
      <c r="I280" s="24" t="s">
        <v>800</v>
      </c>
      <c r="J280" s="45">
        <v>557926.67000000004</v>
      </c>
      <c r="K280" s="169">
        <f t="shared" si="163"/>
        <v>50213</v>
      </c>
      <c r="L280" s="40">
        <f t="shared" si="164"/>
        <v>50213</v>
      </c>
      <c r="M280" s="8"/>
      <c r="N280" s="41">
        <f>J280+K280+L280+M280</f>
        <v>658352.67000000004</v>
      </c>
      <c r="O280" s="378">
        <f>J280*P280</f>
        <v>1394.816675</v>
      </c>
      <c r="P280" s="382">
        <v>2.5000000000000001E-3</v>
      </c>
      <c r="Q280" s="378">
        <f t="shared" ref="Q280:Q286" si="169">N280-O280</f>
        <v>656957.85332500003</v>
      </c>
      <c r="R280" s="377">
        <v>46027</v>
      </c>
      <c r="S280" s="6" t="s">
        <v>74</v>
      </c>
      <c r="T280" s="10" t="s">
        <v>322</v>
      </c>
      <c r="U280" s="8"/>
      <c r="V280" s="8"/>
    </row>
    <row r="281" spans="1:22" ht="30" customHeight="1" x14ac:dyDescent="0.3">
      <c r="A281" s="19">
        <f t="shared" si="168"/>
        <v>280</v>
      </c>
      <c r="B281" s="370" t="s">
        <v>764</v>
      </c>
      <c r="C281" s="46">
        <v>46018</v>
      </c>
      <c r="D281" s="146" t="s">
        <v>288</v>
      </c>
      <c r="E281" s="376" t="s">
        <v>795</v>
      </c>
      <c r="F281" s="146" t="s">
        <v>289</v>
      </c>
      <c r="G281" s="147">
        <v>36</v>
      </c>
      <c r="H281" s="8" t="s">
        <v>287</v>
      </c>
      <c r="I281" s="24" t="s">
        <v>801</v>
      </c>
      <c r="J281" s="45">
        <v>164477.56</v>
      </c>
      <c r="K281" s="169">
        <f t="shared" si="163"/>
        <v>14803</v>
      </c>
      <c r="L281" s="40">
        <f t="shared" si="164"/>
        <v>14803</v>
      </c>
      <c r="M281" s="8"/>
      <c r="N281" s="41">
        <f>J281+K281+L281+M281</f>
        <v>194083.56</v>
      </c>
      <c r="O281" s="378">
        <f>J281*P281</f>
        <v>411.19389999999999</v>
      </c>
      <c r="P281" s="382">
        <v>2.5000000000000001E-3</v>
      </c>
      <c r="Q281" s="378">
        <f t="shared" si="169"/>
        <v>193672.36609999998</v>
      </c>
      <c r="R281" s="377">
        <v>46027</v>
      </c>
      <c r="S281" s="6" t="s">
        <v>74</v>
      </c>
      <c r="T281" s="10" t="s">
        <v>322</v>
      </c>
      <c r="U281" s="8"/>
      <c r="V281" s="8"/>
    </row>
    <row r="282" spans="1:22" ht="30" customHeight="1" x14ac:dyDescent="0.3">
      <c r="A282" s="19">
        <f t="shared" si="168"/>
        <v>281</v>
      </c>
      <c r="B282" s="370" t="s">
        <v>764</v>
      </c>
      <c r="C282" s="46">
        <v>46018</v>
      </c>
      <c r="D282" s="146" t="s">
        <v>288</v>
      </c>
      <c r="E282" s="376" t="s">
        <v>796</v>
      </c>
      <c r="F282" s="146" t="s">
        <v>289</v>
      </c>
      <c r="G282" s="147">
        <v>36</v>
      </c>
      <c r="H282" s="8" t="s">
        <v>287</v>
      </c>
      <c r="I282" s="24" t="s">
        <v>802</v>
      </c>
      <c r="J282" s="45">
        <v>182719.28</v>
      </c>
      <c r="K282" s="169">
        <f t="shared" si="163"/>
        <v>16445</v>
      </c>
      <c r="L282" s="40">
        <f t="shared" si="164"/>
        <v>16445</v>
      </c>
      <c r="M282" s="8"/>
      <c r="N282" s="41">
        <f>J282+K282+L282+M282</f>
        <v>215609.28</v>
      </c>
      <c r="O282" s="378">
        <f>J282*P282</f>
        <v>456.79820000000001</v>
      </c>
      <c r="P282" s="382">
        <v>2.5000000000000001E-3</v>
      </c>
      <c r="Q282" s="378">
        <f t="shared" si="169"/>
        <v>215152.48180000001</v>
      </c>
      <c r="R282" s="377">
        <v>46027</v>
      </c>
      <c r="S282" s="6" t="s">
        <v>74</v>
      </c>
      <c r="T282" s="10" t="s">
        <v>322</v>
      </c>
      <c r="U282" s="8"/>
      <c r="V282" s="8"/>
    </row>
    <row r="283" spans="1:22" ht="30" customHeight="1" x14ac:dyDescent="0.3">
      <c r="A283" s="19">
        <f t="shared" si="168"/>
        <v>282</v>
      </c>
      <c r="B283" s="370" t="s">
        <v>764</v>
      </c>
      <c r="C283" s="46">
        <v>46018</v>
      </c>
      <c r="D283" s="146" t="s">
        <v>288</v>
      </c>
      <c r="E283" s="376" t="s">
        <v>797</v>
      </c>
      <c r="F283" s="146" t="s">
        <v>289</v>
      </c>
      <c r="G283" s="147">
        <v>36</v>
      </c>
      <c r="H283" s="8" t="s">
        <v>287</v>
      </c>
      <c r="I283" s="24" t="s">
        <v>802</v>
      </c>
      <c r="J283" s="45">
        <v>767.3</v>
      </c>
      <c r="K283" s="169">
        <f t="shared" si="163"/>
        <v>69</v>
      </c>
      <c r="L283" s="40">
        <f t="shared" si="164"/>
        <v>69</v>
      </c>
      <c r="M283" s="8"/>
      <c r="N283" s="41">
        <f>J283+K283+L283+M283</f>
        <v>905.3</v>
      </c>
      <c r="O283" s="378">
        <f>J283*P283</f>
        <v>1.91825</v>
      </c>
      <c r="P283" s="382">
        <v>2.5000000000000001E-3</v>
      </c>
      <c r="Q283" s="378">
        <f t="shared" si="169"/>
        <v>903.38175000000001</v>
      </c>
      <c r="R283" s="377">
        <v>46027</v>
      </c>
      <c r="S283" s="6" t="s">
        <v>74</v>
      </c>
      <c r="T283" s="10" t="s">
        <v>322</v>
      </c>
      <c r="U283" s="8"/>
      <c r="V283" s="8"/>
    </row>
    <row r="284" spans="1:22" ht="30" customHeight="1" x14ac:dyDescent="0.3">
      <c r="A284" s="19">
        <f t="shared" si="168"/>
        <v>283</v>
      </c>
      <c r="B284" s="327" t="s">
        <v>697</v>
      </c>
      <c r="C284" s="46">
        <v>45966</v>
      </c>
      <c r="D284" s="46" t="s">
        <v>33</v>
      </c>
      <c r="E284" s="376" t="s">
        <v>698</v>
      </c>
      <c r="F284" s="260" t="s">
        <v>34</v>
      </c>
      <c r="G284" s="147">
        <v>36</v>
      </c>
      <c r="H284" s="8" t="s">
        <v>55</v>
      </c>
      <c r="I284" s="24" t="s">
        <v>701</v>
      </c>
      <c r="J284" s="45">
        <f>(72050*23)+(53350*1)+(99751*8)</f>
        <v>2508508</v>
      </c>
      <c r="K284" s="148">
        <f t="shared" si="163"/>
        <v>225766</v>
      </c>
      <c r="L284" s="40">
        <f t="shared" si="164"/>
        <v>225766</v>
      </c>
      <c r="M284" s="40">
        <f t="shared" ref="M284:M290" si="170">ROUND(IF(G284=36,J284*0%,J284*18%),0)</f>
        <v>0</v>
      </c>
      <c r="N284" s="41">
        <f t="shared" ref="N284:N288" si="171">J284+K284+L284+M284</f>
        <v>2960040</v>
      </c>
      <c r="O284" s="21">
        <f>J284*0.25%</f>
        <v>6271.27</v>
      </c>
      <c r="P284" s="9">
        <f t="shared" ref="P284:P286" si="172">O284/J284</f>
        <v>2.5000000000000001E-3</v>
      </c>
      <c r="Q284" s="23">
        <f t="shared" si="169"/>
        <v>2953768.73</v>
      </c>
      <c r="R284" s="67">
        <v>45664</v>
      </c>
      <c r="S284" s="6" t="s">
        <v>74</v>
      </c>
      <c r="T284" s="10" t="s">
        <v>124</v>
      </c>
      <c r="U284" s="8"/>
      <c r="V284" s="8"/>
    </row>
    <row r="285" spans="1:22" ht="30" customHeight="1" x14ac:dyDescent="0.3">
      <c r="A285" s="19">
        <f t="shared" si="168"/>
        <v>284</v>
      </c>
      <c r="B285" s="327" t="s">
        <v>697</v>
      </c>
      <c r="C285" s="46">
        <v>45966</v>
      </c>
      <c r="D285" s="46" t="s">
        <v>33</v>
      </c>
      <c r="E285" s="328" t="s">
        <v>699</v>
      </c>
      <c r="F285" s="260" t="s">
        <v>34</v>
      </c>
      <c r="G285" s="147">
        <v>36</v>
      </c>
      <c r="H285" s="8" t="s">
        <v>55</v>
      </c>
      <c r="I285" s="24" t="s">
        <v>702</v>
      </c>
      <c r="J285" s="162">
        <v>18099</v>
      </c>
      <c r="K285" s="148">
        <f t="shared" si="163"/>
        <v>1629</v>
      </c>
      <c r="L285" s="40">
        <f t="shared" si="164"/>
        <v>1629</v>
      </c>
      <c r="M285" s="40">
        <f t="shared" si="170"/>
        <v>0</v>
      </c>
      <c r="N285" s="41">
        <f t="shared" si="171"/>
        <v>21357</v>
      </c>
      <c r="O285" s="21">
        <f>J285*0.25%</f>
        <v>45.247500000000002</v>
      </c>
      <c r="P285" s="9">
        <f t="shared" si="172"/>
        <v>2.5000000000000001E-3</v>
      </c>
      <c r="Q285" s="23">
        <f t="shared" si="169"/>
        <v>21311.752499999999</v>
      </c>
      <c r="R285" s="67">
        <v>45664</v>
      </c>
      <c r="S285" s="6" t="s">
        <v>74</v>
      </c>
      <c r="T285" s="10" t="s">
        <v>124</v>
      </c>
      <c r="U285" s="8"/>
      <c r="V285" s="8"/>
    </row>
    <row r="286" spans="1:22" ht="30" customHeight="1" x14ac:dyDescent="0.3">
      <c r="A286" s="19">
        <f t="shared" si="168"/>
        <v>285</v>
      </c>
      <c r="B286" s="327" t="s">
        <v>697</v>
      </c>
      <c r="C286" s="46">
        <v>45966</v>
      </c>
      <c r="D286" s="46" t="s">
        <v>33</v>
      </c>
      <c r="E286" s="328" t="s">
        <v>700</v>
      </c>
      <c r="F286" s="260" t="s">
        <v>34</v>
      </c>
      <c r="G286" s="261">
        <v>36</v>
      </c>
      <c r="H286" s="8" t="s">
        <v>55</v>
      </c>
      <c r="I286" s="24" t="s">
        <v>703</v>
      </c>
      <c r="J286" s="162">
        <v>89000</v>
      </c>
      <c r="K286" s="148">
        <f t="shared" si="163"/>
        <v>8010</v>
      </c>
      <c r="L286" s="40">
        <f t="shared" si="164"/>
        <v>8010</v>
      </c>
      <c r="M286" s="40">
        <f t="shared" si="170"/>
        <v>0</v>
      </c>
      <c r="N286" s="41">
        <f t="shared" si="171"/>
        <v>105020</v>
      </c>
      <c r="O286" s="21">
        <f>J286*0.25%</f>
        <v>222.5</v>
      </c>
      <c r="P286" s="9">
        <f t="shared" si="172"/>
        <v>2.5000000000000001E-3</v>
      </c>
      <c r="Q286" s="23">
        <f t="shared" si="169"/>
        <v>104797.5</v>
      </c>
      <c r="R286" s="67">
        <v>45664</v>
      </c>
      <c r="S286" s="6" t="s">
        <v>74</v>
      </c>
      <c r="T286" s="10" t="s">
        <v>124</v>
      </c>
      <c r="U286" s="8"/>
      <c r="V286" s="8"/>
    </row>
    <row r="287" spans="1:22" ht="30" customHeight="1" x14ac:dyDescent="0.3">
      <c r="A287" s="19">
        <f t="shared" si="168"/>
        <v>286</v>
      </c>
      <c r="B287" s="381" t="s">
        <v>803</v>
      </c>
      <c r="C287" s="46">
        <v>45966</v>
      </c>
      <c r="D287" s="60" t="s">
        <v>33</v>
      </c>
      <c r="E287" s="376" t="s">
        <v>704</v>
      </c>
      <c r="F287" s="260" t="s">
        <v>37</v>
      </c>
      <c r="G287" s="261">
        <v>36</v>
      </c>
      <c r="H287" s="8" t="s">
        <v>38</v>
      </c>
      <c r="I287" s="24" t="s">
        <v>706</v>
      </c>
      <c r="J287" s="45">
        <f>158333+(190000*3)+109000</f>
        <v>837333</v>
      </c>
      <c r="K287" s="43">
        <f t="shared" si="163"/>
        <v>75360</v>
      </c>
      <c r="L287" s="40">
        <f t="shared" si="164"/>
        <v>75360</v>
      </c>
      <c r="M287" s="40">
        <f t="shared" si="170"/>
        <v>0</v>
      </c>
      <c r="N287" s="41">
        <f t="shared" si="171"/>
        <v>988053</v>
      </c>
      <c r="O287" s="21">
        <f>J287*10%</f>
        <v>83733.3</v>
      </c>
      <c r="P287" s="9">
        <f>O287/J287</f>
        <v>0.1</v>
      </c>
      <c r="Q287" s="23">
        <f>N287-O287</f>
        <v>904319.7</v>
      </c>
      <c r="R287" s="67">
        <v>46031</v>
      </c>
      <c r="S287" s="6" t="s">
        <v>74</v>
      </c>
      <c r="T287" s="10" t="s">
        <v>124</v>
      </c>
      <c r="U287" s="8"/>
      <c r="V287" s="8"/>
    </row>
    <row r="288" spans="1:22" ht="30" customHeight="1" x14ac:dyDescent="0.3">
      <c r="A288" s="19">
        <f t="shared" si="168"/>
        <v>287</v>
      </c>
      <c r="B288" s="381" t="s">
        <v>803</v>
      </c>
      <c r="C288" s="46">
        <v>45966</v>
      </c>
      <c r="D288" s="60" t="s">
        <v>33</v>
      </c>
      <c r="E288" s="328" t="s">
        <v>705</v>
      </c>
      <c r="F288" s="260" t="s">
        <v>37</v>
      </c>
      <c r="G288" s="261">
        <v>36</v>
      </c>
      <c r="H288" s="8" t="s">
        <v>38</v>
      </c>
      <c r="I288" s="24" t="s">
        <v>707</v>
      </c>
      <c r="J288" s="45">
        <f>(3000*2)</f>
        <v>6000</v>
      </c>
      <c r="K288" s="169">
        <f t="shared" si="163"/>
        <v>540</v>
      </c>
      <c r="L288" s="40">
        <f t="shared" si="164"/>
        <v>540</v>
      </c>
      <c r="M288" s="40">
        <f t="shared" si="170"/>
        <v>0</v>
      </c>
      <c r="N288" s="41">
        <f t="shared" si="171"/>
        <v>7080</v>
      </c>
      <c r="O288" s="21">
        <f>J288*10%</f>
        <v>600</v>
      </c>
      <c r="P288" s="9">
        <f>O288/J288</f>
        <v>0.1</v>
      </c>
      <c r="Q288" s="23">
        <f>N288-O288</f>
        <v>6480</v>
      </c>
      <c r="R288" s="67">
        <v>46031</v>
      </c>
      <c r="S288" s="6" t="s">
        <v>74</v>
      </c>
      <c r="T288" s="10" t="s">
        <v>124</v>
      </c>
      <c r="U288" s="8"/>
      <c r="V288" s="8"/>
    </row>
    <row r="289" spans="1:22" ht="30" customHeight="1" x14ac:dyDescent="0.3">
      <c r="A289" s="19">
        <f t="shared" si="168"/>
        <v>288</v>
      </c>
      <c r="B289" s="381" t="s">
        <v>803</v>
      </c>
      <c r="C289" s="46">
        <v>45979</v>
      </c>
      <c r="D289" s="130" t="s">
        <v>129</v>
      </c>
      <c r="E289" s="376" t="s">
        <v>749</v>
      </c>
      <c r="F289" s="130" t="s">
        <v>131</v>
      </c>
      <c r="G289" s="131">
        <v>36</v>
      </c>
      <c r="H289" s="8" t="s">
        <v>51</v>
      </c>
      <c r="I289" s="24" t="s">
        <v>754</v>
      </c>
      <c r="J289" s="45">
        <f>3*200</f>
        <v>600</v>
      </c>
      <c r="K289" s="169">
        <f t="shared" si="163"/>
        <v>54</v>
      </c>
      <c r="L289" s="40">
        <f t="shared" si="164"/>
        <v>54</v>
      </c>
      <c r="M289" s="40">
        <f t="shared" si="170"/>
        <v>0</v>
      </c>
      <c r="N289" s="41">
        <f>J289+K289+L289+M289</f>
        <v>708</v>
      </c>
      <c r="O289" s="21">
        <f t="shared" ref="O289" si="173">N289-Q289</f>
        <v>60</v>
      </c>
      <c r="P289" s="9">
        <f t="shared" ref="P289:P290" si="174">O289/J289</f>
        <v>0.1</v>
      </c>
      <c r="Q289" s="23">
        <v>648</v>
      </c>
      <c r="R289" s="67">
        <v>46036</v>
      </c>
      <c r="S289" s="6" t="s">
        <v>74</v>
      </c>
      <c r="T289" s="10" t="s">
        <v>147</v>
      </c>
      <c r="U289" s="8"/>
      <c r="V289" s="8"/>
    </row>
    <row r="290" spans="1:22" ht="30" customHeight="1" x14ac:dyDescent="0.3">
      <c r="A290" s="19">
        <f t="shared" si="168"/>
        <v>289</v>
      </c>
      <c r="B290" s="381" t="s">
        <v>803</v>
      </c>
      <c r="C290" s="46">
        <v>45994</v>
      </c>
      <c r="D290" s="380" t="s">
        <v>288</v>
      </c>
      <c r="E290" s="376" t="s">
        <v>776</v>
      </c>
      <c r="F290" s="306" t="s">
        <v>626</v>
      </c>
      <c r="G290" s="261">
        <v>24</v>
      </c>
      <c r="H290" s="8" t="s">
        <v>627</v>
      </c>
      <c r="I290" s="24" t="s">
        <v>777</v>
      </c>
      <c r="J290" s="45">
        <v>6231526</v>
      </c>
      <c r="K290" s="43">
        <f t="shared" si="163"/>
        <v>0</v>
      </c>
      <c r="L290" s="40">
        <f t="shared" si="164"/>
        <v>0</v>
      </c>
      <c r="M290" s="40">
        <f t="shared" si="170"/>
        <v>1121675</v>
      </c>
      <c r="N290" s="41">
        <f t="shared" ref="N290" si="175">J290+K290+L290+M290</f>
        <v>7353201</v>
      </c>
      <c r="O290" s="21">
        <f>J290*2%</f>
        <v>124630.52</v>
      </c>
      <c r="P290" s="349">
        <f t="shared" si="174"/>
        <v>0.02</v>
      </c>
      <c r="Q290" s="23">
        <f>6000000+1225570</f>
        <v>7225570</v>
      </c>
      <c r="R290" s="67">
        <v>46024</v>
      </c>
      <c r="S290" s="6" t="s">
        <v>74</v>
      </c>
      <c r="T290" s="20" t="s">
        <v>147</v>
      </c>
      <c r="U290" s="66">
        <f t="shared" ref="U290" si="176">N290-O290-Q290</f>
        <v>3000.480000000447</v>
      </c>
      <c r="V290" s="8"/>
    </row>
    <row r="291" spans="1:22" ht="30" customHeight="1" x14ac:dyDescent="0.3">
      <c r="A291" s="19">
        <f t="shared" si="168"/>
        <v>290</v>
      </c>
      <c r="B291" s="381" t="s">
        <v>803</v>
      </c>
      <c r="C291" s="46">
        <v>46029</v>
      </c>
      <c r="D291" s="146" t="s">
        <v>288</v>
      </c>
      <c r="E291" s="376" t="s">
        <v>822</v>
      </c>
      <c r="F291" s="146" t="s">
        <v>289</v>
      </c>
      <c r="G291" s="147">
        <v>36</v>
      </c>
      <c r="H291" s="8" t="s">
        <v>287</v>
      </c>
      <c r="I291" s="24" t="s">
        <v>839</v>
      </c>
      <c r="J291" s="39">
        <v>926.76</v>
      </c>
      <c r="K291" s="8">
        <f t="shared" si="163"/>
        <v>83</v>
      </c>
      <c r="L291" s="8">
        <f t="shared" si="164"/>
        <v>83</v>
      </c>
      <c r="M291" s="8"/>
      <c r="N291" s="41">
        <f>J291+K291+L291+M291</f>
        <v>1092.76</v>
      </c>
      <c r="O291" s="49">
        <f>N291-Q291</f>
        <v>1.5</v>
      </c>
      <c r="P291" s="387">
        <f>O291/J291</f>
        <v>1.6185420173507705E-3</v>
      </c>
      <c r="Q291" s="23">
        <v>1091.26</v>
      </c>
      <c r="R291" s="67">
        <v>46049</v>
      </c>
      <c r="S291" s="6" t="s">
        <v>74</v>
      </c>
      <c r="T291" s="10" t="s">
        <v>322</v>
      </c>
      <c r="U291" s="8"/>
      <c r="V291" s="8"/>
    </row>
    <row r="292" spans="1:22" ht="30" customHeight="1" x14ac:dyDescent="0.3">
      <c r="A292" s="19">
        <f t="shared" si="168"/>
        <v>291</v>
      </c>
      <c r="B292" s="381" t="s">
        <v>803</v>
      </c>
      <c r="C292" s="46">
        <v>46029</v>
      </c>
      <c r="D292" s="146" t="s">
        <v>288</v>
      </c>
      <c r="E292" s="376" t="s">
        <v>823</v>
      </c>
      <c r="F292" s="146" t="s">
        <v>289</v>
      </c>
      <c r="G292" s="147">
        <v>36</v>
      </c>
      <c r="H292" s="8" t="s">
        <v>287</v>
      </c>
      <c r="I292" s="24" t="s">
        <v>840</v>
      </c>
      <c r="J292" s="45">
        <v>301.83</v>
      </c>
      <c r="K292" s="169">
        <f t="shared" si="163"/>
        <v>27</v>
      </c>
      <c r="L292" s="40">
        <f t="shared" si="164"/>
        <v>27</v>
      </c>
      <c r="M292" s="8"/>
      <c r="N292" s="41">
        <f>J292+K292+L292+M292</f>
        <v>355.83</v>
      </c>
      <c r="O292" s="49">
        <f>N292-Q292</f>
        <v>0.43000000000000682</v>
      </c>
      <c r="P292" s="387">
        <f>O292/J292</f>
        <v>1.4246430109664608E-3</v>
      </c>
      <c r="Q292" s="23">
        <v>355.4</v>
      </c>
      <c r="R292" s="67">
        <v>46049</v>
      </c>
      <c r="S292" s="6" t="s">
        <v>74</v>
      </c>
      <c r="T292" s="10" t="s">
        <v>322</v>
      </c>
      <c r="U292" s="8"/>
      <c r="V292" s="8"/>
    </row>
    <row r="293" spans="1:22" ht="30" customHeight="1" x14ac:dyDescent="0.3">
      <c r="A293" s="19">
        <f t="shared" si="168"/>
        <v>292</v>
      </c>
      <c r="B293" s="327" t="s">
        <v>856</v>
      </c>
      <c r="C293" s="46">
        <v>46024</v>
      </c>
      <c r="D293" s="46" t="s">
        <v>70</v>
      </c>
      <c r="E293" s="328" t="s">
        <v>805</v>
      </c>
      <c r="F293" s="260" t="s">
        <v>134</v>
      </c>
      <c r="G293" s="261">
        <v>10</v>
      </c>
      <c r="H293" s="8" t="s">
        <v>39</v>
      </c>
      <c r="I293" s="24" t="s">
        <v>807</v>
      </c>
      <c r="J293" s="162">
        <v>39001</v>
      </c>
      <c r="K293" s="148">
        <f>ROUND(IF(G293=36,J293*9%,0),0)</f>
        <v>0</v>
      </c>
      <c r="L293" s="40">
        <f>ROUND(IF(G293=36,J293*9%,0),0)</f>
        <v>0</v>
      </c>
      <c r="M293" s="40">
        <f t="shared" ref="M293" si="177">ROUND(IF(G293=36,J293*0%,J293*18%),0)</f>
        <v>7020</v>
      </c>
      <c r="N293" s="41">
        <f t="shared" ref="N293" si="178">J293+K293+L293+M293</f>
        <v>46021</v>
      </c>
      <c r="O293" s="21">
        <f t="shared" ref="O293:O298" si="179">J293*0.25%</f>
        <v>97.502499999999998</v>
      </c>
      <c r="P293" s="9">
        <f>O293/J293</f>
        <v>2.5000000000000001E-3</v>
      </c>
      <c r="Q293" s="23">
        <v>38220.97</v>
      </c>
      <c r="R293" s="67">
        <v>46051</v>
      </c>
      <c r="S293" s="6" t="s">
        <v>74</v>
      </c>
      <c r="T293" s="10" t="s">
        <v>136</v>
      </c>
      <c r="U293" s="386">
        <f>N293-O293-Q293</f>
        <v>7702.5274999999965</v>
      </c>
      <c r="V293" s="8"/>
    </row>
    <row r="294" spans="1:22" ht="30" customHeight="1" x14ac:dyDescent="0.3">
      <c r="A294" s="19">
        <f t="shared" si="168"/>
        <v>293</v>
      </c>
      <c r="B294" s="381" t="s">
        <v>803</v>
      </c>
      <c r="C294" s="46">
        <v>46034</v>
      </c>
      <c r="D294" s="167" t="s">
        <v>70</v>
      </c>
      <c r="E294" s="376" t="s">
        <v>821</v>
      </c>
      <c r="F294" s="167" t="s">
        <v>138</v>
      </c>
      <c r="G294" s="168">
        <v>36</v>
      </c>
      <c r="H294" s="8" t="s">
        <v>49</v>
      </c>
      <c r="I294" s="24" t="s">
        <v>831</v>
      </c>
      <c r="J294" s="39">
        <v>634914</v>
      </c>
      <c r="K294" s="386">
        <f t="shared" si="163"/>
        <v>57142</v>
      </c>
      <c r="L294" s="386">
        <f t="shared" si="164"/>
        <v>57142</v>
      </c>
      <c r="M294" s="386">
        <f t="shared" ref="M294:M306" si="180">ROUND(IF(G294=36,J294*0%,J294*18%),0)</f>
        <v>0</v>
      </c>
      <c r="N294" s="41">
        <f t="shared" ref="N294:N306" si="181">J294+K294+L294+M294</f>
        <v>749198</v>
      </c>
      <c r="O294" s="378">
        <f t="shared" si="179"/>
        <v>1587.2850000000001</v>
      </c>
      <c r="P294" s="9">
        <f t="shared" ref="P294:P298" si="182">O294/J294</f>
        <v>2.5000000000000001E-3</v>
      </c>
      <c r="Q294" s="388">
        <f>747611.52</f>
        <v>747611.52</v>
      </c>
      <c r="R294" s="67">
        <v>46053</v>
      </c>
      <c r="S294" s="6" t="s">
        <v>74</v>
      </c>
      <c r="T294" s="10" t="s">
        <v>96</v>
      </c>
      <c r="U294" s="8"/>
      <c r="V294" s="8"/>
    </row>
    <row r="295" spans="1:22" ht="30" customHeight="1" x14ac:dyDescent="0.3">
      <c r="A295" s="19">
        <f t="shared" si="168"/>
        <v>294</v>
      </c>
      <c r="B295" s="381" t="s">
        <v>803</v>
      </c>
      <c r="C295" s="46">
        <v>46034</v>
      </c>
      <c r="D295" s="167" t="s">
        <v>70</v>
      </c>
      <c r="E295" s="376" t="s">
        <v>827</v>
      </c>
      <c r="F295" s="167" t="s">
        <v>138</v>
      </c>
      <c r="G295" s="168">
        <v>36</v>
      </c>
      <c r="H295" s="8" t="s">
        <v>49</v>
      </c>
      <c r="I295" s="24" t="s">
        <v>832</v>
      </c>
      <c r="J295" s="39">
        <v>28653322</v>
      </c>
      <c r="K295" s="386">
        <f t="shared" si="163"/>
        <v>2578799</v>
      </c>
      <c r="L295" s="386">
        <f t="shared" si="164"/>
        <v>2578799</v>
      </c>
      <c r="M295" s="386">
        <f t="shared" si="180"/>
        <v>0</v>
      </c>
      <c r="N295" s="41">
        <f t="shared" si="181"/>
        <v>33810920</v>
      </c>
      <c r="O295" s="378">
        <f t="shared" si="179"/>
        <v>71633.305000000008</v>
      </c>
      <c r="P295" s="9">
        <f t="shared" si="182"/>
        <v>2.5000000000000001E-3</v>
      </c>
      <c r="Q295" s="388">
        <f>33739286.96</f>
        <v>33739286.960000001</v>
      </c>
      <c r="R295" s="67">
        <v>46053</v>
      </c>
      <c r="S295" s="6" t="s">
        <v>74</v>
      </c>
      <c r="T295" s="10" t="s">
        <v>96</v>
      </c>
      <c r="U295" s="8"/>
      <c r="V295" s="8"/>
    </row>
    <row r="296" spans="1:22" ht="30" customHeight="1" x14ac:dyDescent="0.3">
      <c r="A296" s="19">
        <f t="shared" si="168"/>
        <v>295</v>
      </c>
      <c r="B296" s="381" t="s">
        <v>803</v>
      </c>
      <c r="C296" s="46">
        <v>46034</v>
      </c>
      <c r="D296" s="167" t="s">
        <v>70</v>
      </c>
      <c r="E296" s="376" t="s">
        <v>828</v>
      </c>
      <c r="F296" s="167" t="s">
        <v>138</v>
      </c>
      <c r="G296" s="168">
        <v>36</v>
      </c>
      <c r="H296" s="8" t="s">
        <v>49</v>
      </c>
      <c r="I296" s="24" t="s">
        <v>833</v>
      </c>
      <c r="J296" s="39">
        <v>358525</v>
      </c>
      <c r="K296" s="8">
        <f t="shared" si="163"/>
        <v>32267</v>
      </c>
      <c r="L296" s="8">
        <f t="shared" si="164"/>
        <v>32267</v>
      </c>
      <c r="M296" s="8">
        <f t="shared" si="180"/>
        <v>0</v>
      </c>
      <c r="N296" s="41">
        <f t="shared" si="181"/>
        <v>423059</v>
      </c>
      <c r="O296" s="378">
        <f t="shared" si="179"/>
        <v>896.3125</v>
      </c>
      <c r="P296" s="9">
        <f t="shared" si="182"/>
        <v>2.5000000000000001E-3</v>
      </c>
      <c r="Q296" s="388">
        <f>422163.5</f>
        <v>422163.5</v>
      </c>
      <c r="R296" s="67">
        <v>46053</v>
      </c>
      <c r="S296" s="6" t="s">
        <v>74</v>
      </c>
      <c r="T296" s="10" t="s">
        <v>96</v>
      </c>
      <c r="U296" s="8"/>
      <c r="V296" s="8"/>
    </row>
    <row r="297" spans="1:22" ht="30" customHeight="1" x14ac:dyDescent="0.3">
      <c r="A297" s="19">
        <f t="shared" si="168"/>
        <v>296</v>
      </c>
      <c r="B297" s="381" t="s">
        <v>803</v>
      </c>
      <c r="C297" s="46">
        <v>46034</v>
      </c>
      <c r="D297" s="167" t="s">
        <v>70</v>
      </c>
      <c r="E297" s="376" t="s">
        <v>829</v>
      </c>
      <c r="F297" s="167" t="s">
        <v>138</v>
      </c>
      <c r="G297" s="168">
        <v>36</v>
      </c>
      <c r="H297" s="8" t="s">
        <v>49</v>
      </c>
      <c r="I297" s="24" t="s">
        <v>834</v>
      </c>
      <c r="J297" s="39">
        <v>468104</v>
      </c>
      <c r="K297" s="8">
        <f t="shared" si="163"/>
        <v>42129</v>
      </c>
      <c r="L297" s="8">
        <f t="shared" si="164"/>
        <v>42129</v>
      </c>
      <c r="M297" s="8">
        <f t="shared" si="180"/>
        <v>0</v>
      </c>
      <c r="N297" s="41">
        <f t="shared" si="181"/>
        <v>552362</v>
      </c>
      <c r="O297" s="378">
        <f t="shared" si="179"/>
        <v>1170.26</v>
      </c>
      <c r="P297" s="9">
        <f t="shared" si="182"/>
        <v>2.5000000000000001E-3</v>
      </c>
      <c r="Q297" s="388">
        <f>551192.72</f>
        <v>551192.72</v>
      </c>
      <c r="R297" s="67">
        <v>46053</v>
      </c>
      <c r="S297" s="6" t="s">
        <v>74</v>
      </c>
      <c r="T297" s="10" t="s">
        <v>96</v>
      </c>
      <c r="U297" s="8"/>
      <c r="V297" s="8"/>
    </row>
    <row r="298" spans="1:22" ht="30" customHeight="1" x14ac:dyDescent="0.3">
      <c r="A298" s="19">
        <f t="shared" si="168"/>
        <v>297</v>
      </c>
      <c r="B298" s="381" t="s">
        <v>803</v>
      </c>
      <c r="C298" s="46">
        <v>46034</v>
      </c>
      <c r="D298" s="167" t="s">
        <v>70</v>
      </c>
      <c r="E298" s="376" t="s">
        <v>830</v>
      </c>
      <c r="F298" s="167" t="s">
        <v>138</v>
      </c>
      <c r="G298" s="168">
        <v>36</v>
      </c>
      <c r="H298" s="8" t="s">
        <v>49</v>
      </c>
      <c r="I298" s="24" t="s">
        <v>835</v>
      </c>
      <c r="J298" s="39">
        <v>19348</v>
      </c>
      <c r="K298" s="8">
        <f t="shared" si="163"/>
        <v>1741</v>
      </c>
      <c r="L298" s="8">
        <f t="shared" si="164"/>
        <v>1741</v>
      </c>
      <c r="M298" s="8">
        <f t="shared" si="180"/>
        <v>0</v>
      </c>
      <c r="N298" s="41">
        <f t="shared" si="181"/>
        <v>22830</v>
      </c>
      <c r="O298" s="378">
        <f t="shared" si="179"/>
        <v>48.370000000000005</v>
      </c>
      <c r="P298" s="9">
        <f t="shared" si="182"/>
        <v>2.5000000000000001E-3</v>
      </c>
      <c r="Q298" s="388">
        <f>22782.64</f>
        <v>22782.639999999999</v>
      </c>
      <c r="R298" s="67">
        <v>46053</v>
      </c>
      <c r="S298" s="6" t="s">
        <v>74</v>
      </c>
      <c r="T298" s="10" t="s">
        <v>96</v>
      </c>
      <c r="U298" s="8"/>
      <c r="V298" s="8"/>
    </row>
    <row r="299" spans="1:22" ht="30" customHeight="1" x14ac:dyDescent="0.3">
      <c r="A299" s="19">
        <f t="shared" si="168"/>
        <v>298</v>
      </c>
      <c r="B299" s="381" t="s">
        <v>856</v>
      </c>
      <c r="C299" s="46">
        <v>46050</v>
      </c>
      <c r="D299" s="380" t="s">
        <v>70</v>
      </c>
      <c r="E299" s="376" t="s">
        <v>845</v>
      </c>
      <c r="F299" s="331" t="s">
        <v>126</v>
      </c>
      <c r="G299" s="19">
        <v>24</v>
      </c>
      <c r="H299" s="8" t="s">
        <v>125</v>
      </c>
      <c r="I299" s="24" t="s">
        <v>846</v>
      </c>
      <c r="J299" s="45">
        <v>15499114</v>
      </c>
      <c r="K299" s="43">
        <f t="shared" si="163"/>
        <v>0</v>
      </c>
      <c r="L299" s="40">
        <f t="shared" si="164"/>
        <v>0</v>
      </c>
      <c r="M299" s="40">
        <f t="shared" si="180"/>
        <v>2789841</v>
      </c>
      <c r="N299" s="41">
        <f t="shared" si="181"/>
        <v>18288955</v>
      </c>
      <c r="O299" s="49">
        <f>N299-Q299</f>
        <v>38748.480000000447</v>
      </c>
      <c r="P299" s="349">
        <f t="shared" ref="P299:P306" si="183">O299/J299</f>
        <v>2.5000448412728911E-3</v>
      </c>
      <c r="Q299" s="386">
        <v>18250206.52</v>
      </c>
      <c r="R299" s="67">
        <v>46057</v>
      </c>
      <c r="S299" s="6" t="s">
        <v>74</v>
      </c>
      <c r="T299" s="20" t="s">
        <v>569</v>
      </c>
      <c r="U299" s="8"/>
      <c r="V299" s="8"/>
    </row>
    <row r="300" spans="1:22" ht="30" customHeight="1" x14ac:dyDescent="0.3">
      <c r="A300" s="19">
        <f t="shared" si="168"/>
        <v>299</v>
      </c>
      <c r="B300" s="381" t="s">
        <v>856</v>
      </c>
      <c r="C300" s="46">
        <v>45993</v>
      </c>
      <c r="D300" s="60" t="s">
        <v>33</v>
      </c>
      <c r="E300" s="376" t="s">
        <v>771</v>
      </c>
      <c r="F300" s="260" t="s">
        <v>37</v>
      </c>
      <c r="G300" s="261">
        <v>36</v>
      </c>
      <c r="H300" s="8" t="s">
        <v>38</v>
      </c>
      <c r="I300" s="24" t="s">
        <v>775</v>
      </c>
      <c r="J300" s="45">
        <f>158333+(190000*3)+109000</f>
        <v>837333</v>
      </c>
      <c r="K300" s="43">
        <f t="shared" si="163"/>
        <v>75360</v>
      </c>
      <c r="L300" s="40">
        <f t="shared" si="164"/>
        <v>75360</v>
      </c>
      <c r="M300" s="40">
        <f t="shared" si="180"/>
        <v>0</v>
      </c>
      <c r="N300" s="41">
        <f t="shared" si="181"/>
        <v>988053</v>
      </c>
      <c r="O300" s="49">
        <f>N300-Q300</f>
        <v>83733</v>
      </c>
      <c r="P300" s="9">
        <f t="shared" si="183"/>
        <v>9.99996417196026E-2</v>
      </c>
      <c r="Q300" s="386">
        <v>904320</v>
      </c>
      <c r="R300" s="67">
        <v>46057</v>
      </c>
      <c r="S300" s="6" t="s">
        <v>74</v>
      </c>
      <c r="T300" s="20" t="s">
        <v>124</v>
      </c>
      <c r="U300" s="8"/>
      <c r="V300" s="8"/>
    </row>
    <row r="301" spans="1:22" ht="30" customHeight="1" x14ac:dyDescent="0.3">
      <c r="A301" s="19">
        <f t="shared" si="168"/>
        <v>300</v>
      </c>
      <c r="B301" s="381" t="s">
        <v>856</v>
      </c>
      <c r="C301" s="46">
        <v>46028</v>
      </c>
      <c r="D301" s="46" t="s">
        <v>33</v>
      </c>
      <c r="E301" s="376" t="s">
        <v>812</v>
      </c>
      <c r="F301" s="260" t="s">
        <v>34</v>
      </c>
      <c r="G301" s="261">
        <v>36</v>
      </c>
      <c r="H301" s="8" t="s">
        <v>55</v>
      </c>
      <c r="I301" s="24" t="s">
        <v>817</v>
      </c>
      <c r="J301" s="39">
        <f>(72050*12)+(53350*1)+(99751*15)</f>
        <v>2414215</v>
      </c>
      <c r="K301" s="148">
        <f t="shared" si="163"/>
        <v>217279</v>
      </c>
      <c r="L301" s="40">
        <f t="shared" si="164"/>
        <v>217279</v>
      </c>
      <c r="M301" s="40">
        <f t="shared" si="180"/>
        <v>0</v>
      </c>
      <c r="N301" s="41">
        <f t="shared" si="181"/>
        <v>2848773</v>
      </c>
      <c r="O301" s="386">
        <f>J301*0.25%</f>
        <v>6035.5375000000004</v>
      </c>
      <c r="P301" s="9">
        <f t="shared" si="183"/>
        <v>2.5000000000000001E-3</v>
      </c>
      <c r="Q301" s="49">
        <f>N301-O301</f>
        <v>2842737.4624999999</v>
      </c>
      <c r="R301" s="67">
        <v>46057</v>
      </c>
      <c r="S301" s="6" t="s">
        <v>74</v>
      </c>
      <c r="T301" s="20" t="s">
        <v>124</v>
      </c>
      <c r="U301" s="8"/>
      <c r="V301" s="8"/>
    </row>
    <row r="302" spans="1:22" ht="30" customHeight="1" x14ac:dyDescent="0.3">
      <c r="A302" s="19">
        <f t="shared" si="168"/>
        <v>301</v>
      </c>
      <c r="B302" s="381" t="s">
        <v>856</v>
      </c>
      <c r="C302" s="46">
        <v>46028</v>
      </c>
      <c r="D302" s="46" t="s">
        <v>33</v>
      </c>
      <c r="E302" s="376" t="s">
        <v>813</v>
      </c>
      <c r="F302" s="260" t="s">
        <v>34</v>
      </c>
      <c r="G302" s="261">
        <v>36</v>
      </c>
      <c r="H302" s="8" t="s">
        <v>55</v>
      </c>
      <c r="I302" s="24" t="s">
        <v>818</v>
      </c>
      <c r="J302" s="39">
        <v>21153</v>
      </c>
      <c r="K302" s="148">
        <f t="shared" si="163"/>
        <v>1904</v>
      </c>
      <c r="L302" s="40">
        <f t="shared" si="164"/>
        <v>1904</v>
      </c>
      <c r="M302" s="40">
        <f t="shared" si="180"/>
        <v>0</v>
      </c>
      <c r="N302" s="41">
        <f t="shared" si="181"/>
        <v>24961</v>
      </c>
      <c r="O302" s="386">
        <f>J302*0.25%</f>
        <v>52.8825</v>
      </c>
      <c r="P302" s="9">
        <f t="shared" si="183"/>
        <v>2.5000000000000001E-3</v>
      </c>
      <c r="Q302" s="49">
        <f>N302-O302</f>
        <v>24908.1175</v>
      </c>
      <c r="R302" s="67">
        <v>46057</v>
      </c>
      <c r="S302" s="6" t="s">
        <v>74</v>
      </c>
      <c r="T302" s="20" t="s">
        <v>124</v>
      </c>
      <c r="U302" s="8"/>
      <c r="V302" s="8"/>
    </row>
    <row r="303" spans="1:22" ht="30" customHeight="1" x14ac:dyDescent="0.3">
      <c r="A303" s="19">
        <f t="shared" si="168"/>
        <v>302</v>
      </c>
      <c r="B303" s="381" t="s">
        <v>856</v>
      </c>
      <c r="C303" s="46">
        <v>46028</v>
      </c>
      <c r="D303" s="46" t="s">
        <v>33</v>
      </c>
      <c r="E303" s="376" t="s">
        <v>814</v>
      </c>
      <c r="F303" s="260" t="s">
        <v>34</v>
      </c>
      <c r="G303" s="261">
        <v>36</v>
      </c>
      <c r="H303" s="8" t="s">
        <v>55</v>
      </c>
      <c r="I303" s="24" t="s">
        <v>816</v>
      </c>
      <c r="J303" s="39">
        <v>89000</v>
      </c>
      <c r="K303" s="148">
        <f t="shared" si="163"/>
        <v>8010</v>
      </c>
      <c r="L303" s="40">
        <f t="shared" si="164"/>
        <v>8010</v>
      </c>
      <c r="M303" s="40">
        <f t="shared" si="180"/>
        <v>0</v>
      </c>
      <c r="N303" s="41">
        <f t="shared" si="181"/>
        <v>105020</v>
      </c>
      <c r="O303" s="386">
        <f>J303*0.25%</f>
        <v>222.5</v>
      </c>
      <c r="P303" s="9">
        <f t="shared" si="183"/>
        <v>2.5000000000000001E-3</v>
      </c>
      <c r="Q303" s="49">
        <f>N303-O303</f>
        <v>104797.5</v>
      </c>
      <c r="R303" s="67">
        <v>46057</v>
      </c>
      <c r="S303" s="6" t="s">
        <v>74</v>
      </c>
      <c r="T303" s="20" t="s">
        <v>124</v>
      </c>
      <c r="U303" s="8"/>
      <c r="V303" s="8"/>
    </row>
    <row r="304" spans="1:22" ht="30" customHeight="1" x14ac:dyDescent="0.3">
      <c r="A304" s="19">
        <f t="shared" si="168"/>
        <v>303</v>
      </c>
      <c r="B304" s="381" t="s">
        <v>856</v>
      </c>
      <c r="C304" s="46">
        <v>46051</v>
      </c>
      <c r="D304" s="171" t="s">
        <v>70</v>
      </c>
      <c r="E304" s="376" t="s">
        <v>847</v>
      </c>
      <c r="F304" s="171" t="s">
        <v>110</v>
      </c>
      <c r="G304" s="172">
        <v>37</v>
      </c>
      <c r="H304" s="8" t="s">
        <v>59</v>
      </c>
      <c r="I304" s="24" t="s">
        <v>850</v>
      </c>
      <c r="J304" s="45">
        <v>199452</v>
      </c>
      <c r="K304" s="173">
        <f t="shared" si="163"/>
        <v>0</v>
      </c>
      <c r="L304" s="40">
        <f t="shared" si="164"/>
        <v>0</v>
      </c>
      <c r="M304" s="40">
        <f t="shared" si="180"/>
        <v>35901</v>
      </c>
      <c r="N304" s="41">
        <f t="shared" si="181"/>
        <v>235353</v>
      </c>
      <c r="O304" s="21">
        <f t="shared" ref="O304:O310" si="184">N304-Q304</f>
        <v>498.64000000001397</v>
      </c>
      <c r="P304" s="9">
        <f t="shared" si="183"/>
        <v>2.5000501373764815E-3</v>
      </c>
      <c r="Q304" s="23">
        <f>234854.36</f>
        <v>234854.36</v>
      </c>
      <c r="R304" s="67">
        <v>46059</v>
      </c>
      <c r="S304" s="6" t="s">
        <v>74</v>
      </c>
      <c r="T304" s="10" t="s">
        <v>248</v>
      </c>
      <c r="U304" s="8"/>
      <c r="V304" s="8"/>
    </row>
    <row r="305" spans="1:22" ht="30" customHeight="1" x14ac:dyDescent="0.3">
      <c r="A305" s="19">
        <f t="shared" si="168"/>
        <v>304</v>
      </c>
      <c r="B305" s="381" t="s">
        <v>856</v>
      </c>
      <c r="C305" s="46">
        <v>46051</v>
      </c>
      <c r="D305" s="171" t="s">
        <v>70</v>
      </c>
      <c r="E305" s="376" t="s">
        <v>848</v>
      </c>
      <c r="F305" s="171" t="s">
        <v>110</v>
      </c>
      <c r="G305" s="172">
        <v>37</v>
      </c>
      <c r="H305" s="8" t="s">
        <v>59</v>
      </c>
      <c r="I305" s="24" t="s">
        <v>851</v>
      </c>
      <c r="J305" s="45">
        <v>740736</v>
      </c>
      <c r="K305" s="173">
        <f t="shared" si="163"/>
        <v>0</v>
      </c>
      <c r="L305" s="40">
        <f t="shared" si="164"/>
        <v>0</v>
      </c>
      <c r="M305" s="40">
        <f t="shared" si="180"/>
        <v>133332</v>
      </c>
      <c r="N305" s="41">
        <f t="shared" si="181"/>
        <v>874068</v>
      </c>
      <c r="O305" s="21">
        <f t="shared" si="184"/>
        <v>1851.5200000000186</v>
      </c>
      <c r="P305" s="9">
        <f t="shared" si="183"/>
        <v>2.4995679972352075E-3</v>
      </c>
      <c r="Q305" s="23">
        <f>872216.48</f>
        <v>872216.48</v>
      </c>
      <c r="R305" s="67">
        <v>46059</v>
      </c>
      <c r="S305" s="6" t="s">
        <v>74</v>
      </c>
      <c r="T305" s="10" t="s">
        <v>248</v>
      </c>
      <c r="U305" s="8"/>
      <c r="V305" s="8"/>
    </row>
    <row r="306" spans="1:22" ht="30" customHeight="1" x14ac:dyDescent="0.3">
      <c r="A306" s="19">
        <f t="shared" si="168"/>
        <v>305</v>
      </c>
      <c r="B306" s="381" t="s">
        <v>856</v>
      </c>
      <c r="C306" s="46">
        <v>46051</v>
      </c>
      <c r="D306" s="171" t="s">
        <v>70</v>
      </c>
      <c r="E306" s="376" t="s">
        <v>849</v>
      </c>
      <c r="F306" s="171" t="s">
        <v>110</v>
      </c>
      <c r="G306" s="172">
        <v>37</v>
      </c>
      <c r="H306" s="8" t="s">
        <v>59</v>
      </c>
      <c r="I306" s="24" t="s">
        <v>852</v>
      </c>
      <c r="J306" s="45">
        <v>1513211</v>
      </c>
      <c r="K306" s="173">
        <f t="shared" si="163"/>
        <v>0</v>
      </c>
      <c r="L306" s="40">
        <f t="shared" si="164"/>
        <v>0</v>
      </c>
      <c r="M306" s="40">
        <f t="shared" si="180"/>
        <v>272378</v>
      </c>
      <c r="N306" s="41">
        <f t="shared" si="181"/>
        <v>1785589</v>
      </c>
      <c r="O306" s="21">
        <f t="shared" si="184"/>
        <v>3783.0200000000186</v>
      </c>
      <c r="P306" s="9">
        <f t="shared" si="183"/>
        <v>2.4999950436522195E-3</v>
      </c>
      <c r="Q306" s="23">
        <f>1781805.98</f>
        <v>1781805.98</v>
      </c>
      <c r="R306" s="67">
        <v>46059</v>
      </c>
      <c r="S306" s="6" t="s">
        <v>74</v>
      </c>
      <c r="T306" s="10" t="s">
        <v>248</v>
      </c>
      <c r="U306" s="8"/>
      <c r="V306" s="8"/>
    </row>
    <row r="307" spans="1:22" ht="30" customHeight="1" x14ac:dyDescent="0.3">
      <c r="A307" s="19">
        <f t="shared" si="168"/>
        <v>306</v>
      </c>
      <c r="B307" s="381" t="s">
        <v>856</v>
      </c>
      <c r="C307" s="46">
        <v>46049</v>
      </c>
      <c r="D307" s="146" t="s">
        <v>288</v>
      </c>
      <c r="E307" s="376" t="s">
        <v>841</v>
      </c>
      <c r="F307" s="146" t="s">
        <v>289</v>
      </c>
      <c r="G307" s="147">
        <v>36</v>
      </c>
      <c r="H307" s="8" t="s">
        <v>287</v>
      </c>
      <c r="I307" s="24" t="s">
        <v>854</v>
      </c>
      <c r="J307" s="389">
        <v>460697.83</v>
      </c>
      <c r="K307" s="169">
        <f t="shared" si="163"/>
        <v>41463</v>
      </c>
      <c r="L307" s="40">
        <f t="shared" si="164"/>
        <v>41463</v>
      </c>
      <c r="M307" s="8"/>
      <c r="N307" s="41">
        <f>J307+K307+L307+M307</f>
        <v>543623.83000000007</v>
      </c>
      <c r="O307" s="49">
        <f t="shared" si="184"/>
        <v>1151.7445750000188</v>
      </c>
      <c r="P307" s="9">
        <f t="shared" ref="P307:P310" si="185">O307/J307</f>
        <v>2.5000000000000408E-3</v>
      </c>
      <c r="Q307" s="390">
        <f>N307-(J307*0.25%)</f>
        <v>542472.08542500006</v>
      </c>
      <c r="R307" s="67">
        <v>46059</v>
      </c>
      <c r="S307" s="6" t="s">
        <v>74</v>
      </c>
      <c r="T307" s="20" t="s">
        <v>322</v>
      </c>
      <c r="U307" s="8"/>
      <c r="V307" s="8"/>
    </row>
    <row r="308" spans="1:22" ht="30" customHeight="1" x14ac:dyDescent="0.3">
      <c r="A308" s="19">
        <f t="shared" si="168"/>
        <v>307</v>
      </c>
      <c r="B308" s="381" t="s">
        <v>856</v>
      </c>
      <c r="C308" s="46">
        <v>46049</v>
      </c>
      <c r="D308" s="146" t="s">
        <v>288</v>
      </c>
      <c r="E308" s="376" t="s">
        <v>842</v>
      </c>
      <c r="F308" s="146" t="s">
        <v>289</v>
      </c>
      <c r="G308" s="147">
        <v>36</v>
      </c>
      <c r="H308" s="8" t="s">
        <v>287</v>
      </c>
      <c r="I308" s="24" t="s">
        <v>853</v>
      </c>
      <c r="J308" s="389">
        <v>163371.98000000001</v>
      </c>
      <c r="K308" s="169">
        <f t="shared" si="163"/>
        <v>14703</v>
      </c>
      <c r="L308" s="40">
        <f t="shared" si="164"/>
        <v>14703</v>
      </c>
      <c r="M308" s="8"/>
      <c r="N308" s="41">
        <f>J308+K308+L308+M308</f>
        <v>192777.98</v>
      </c>
      <c r="O308" s="49">
        <f t="shared" si="184"/>
        <v>408.42994999999064</v>
      </c>
      <c r="P308" s="9">
        <f t="shared" si="185"/>
        <v>2.4999999999999424E-3</v>
      </c>
      <c r="Q308" s="390">
        <f>N308-(J308*0.25%)</f>
        <v>192369.55005000002</v>
      </c>
      <c r="R308" s="67">
        <v>46059</v>
      </c>
      <c r="S308" s="6" t="s">
        <v>74</v>
      </c>
      <c r="T308" s="20" t="s">
        <v>322</v>
      </c>
      <c r="U308" s="8"/>
      <c r="V308" s="8"/>
    </row>
    <row r="309" spans="1:22" ht="30" customHeight="1" x14ac:dyDescent="0.3">
      <c r="A309" s="19">
        <f t="shared" si="168"/>
        <v>308</v>
      </c>
      <c r="B309" s="381" t="s">
        <v>856</v>
      </c>
      <c r="C309" s="46">
        <v>46049</v>
      </c>
      <c r="D309" s="146" t="s">
        <v>288</v>
      </c>
      <c r="E309" s="376" t="s">
        <v>843</v>
      </c>
      <c r="F309" s="146" t="s">
        <v>289</v>
      </c>
      <c r="G309" s="147">
        <v>36</v>
      </c>
      <c r="H309" s="8" t="s">
        <v>287</v>
      </c>
      <c r="I309" s="24" t="s">
        <v>854</v>
      </c>
      <c r="J309" s="389">
        <v>117488.53</v>
      </c>
      <c r="K309" s="169">
        <f t="shared" si="163"/>
        <v>10574</v>
      </c>
      <c r="L309" s="40">
        <f t="shared" si="164"/>
        <v>10574</v>
      </c>
      <c r="M309" s="8"/>
      <c r="N309" s="41">
        <f>J309+K309+L309+M309</f>
        <v>138636.53</v>
      </c>
      <c r="O309" s="49">
        <f t="shared" si="184"/>
        <v>293.72132499999134</v>
      </c>
      <c r="P309" s="9">
        <f t="shared" si="185"/>
        <v>2.4999999999999263E-3</v>
      </c>
      <c r="Q309" s="390">
        <f>N309-(J309*0.25%)</f>
        <v>138342.80867500001</v>
      </c>
      <c r="R309" s="67">
        <v>46059</v>
      </c>
      <c r="S309" s="6" t="s">
        <v>74</v>
      </c>
      <c r="T309" s="20" t="s">
        <v>322</v>
      </c>
      <c r="U309" s="8"/>
      <c r="V309" s="8"/>
    </row>
    <row r="310" spans="1:22" ht="30" customHeight="1" x14ac:dyDescent="0.3">
      <c r="A310" s="19">
        <f t="shared" si="168"/>
        <v>309</v>
      </c>
      <c r="B310" s="381" t="s">
        <v>856</v>
      </c>
      <c r="C310" s="46">
        <v>46049</v>
      </c>
      <c r="D310" s="146" t="s">
        <v>288</v>
      </c>
      <c r="E310" s="376" t="s">
        <v>844</v>
      </c>
      <c r="F310" s="146" t="s">
        <v>289</v>
      </c>
      <c r="G310" s="147">
        <v>36</v>
      </c>
      <c r="H310" s="8" t="s">
        <v>287</v>
      </c>
      <c r="I310" s="24" t="s">
        <v>853</v>
      </c>
      <c r="J310" s="389">
        <v>1534.6</v>
      </c>
      <c r="K310" s="169">
        <f t="shared" si="163"/>
        <v>138</v>
      </c>
      <c r="L310" s="40">
        <f t="shared" si="164"/>
        <v>138</v>
      </c>
      <c r="M310" s="8"/>
      <c r="N310" s="41">
        <f>J310+K310+L310+M310</f>
        <v>1810.6</v>
      </c>
      <c r="O310" s="49">
        <f t="shared" si="184"/>
        <v>3.8364999999998872</v>
      </c>
      <c r="P310" s="9">
        <f t="shared" si="185"/>
        <v>2.4999999999999268E-3</v>
      </c>
      <c r="Q310" s="390">
        <f>N310-(J310*0.25%)</f>
        <v>1806.7635</v>
      </c>
      <c r="R310" s="67">
        <v>46059</v>
      </c>
      <c r="S310" s="6" t="s">
        <v>74</v>
      </c>
      <c r="T310" s="20" t="s">
        <v>322</v>
      </c>
      <c r="U310" s="8"/>
      <c r="V310" s="8"/>
    </row>
    <row r="311" spans="1:22" ht="30" customHeight="1" x14ac:dyDescent="0.3">
      <c r="A311" s="19">
        <f t="shared" si="168"/>
        <v>310</v>
      </c>
      <c r="B311" s="381" t="s">
        <v>803</v>
      </c>
      <c r="C311" s="46">
        <v>45979</v>
      </c>
      <c r="D311" s="130" t="s">
        <v>129</v>
      </c>
      <c r="E311" s="331" t="s">
        <v>748</v>
      </c>
      <c r="F311" s="130" t="s">
        <v>146</v>
      </c>
      <c r="G311" s="131">
        <v>36</v>
      </c>
      <c r="H311" s="8" t="s">
        <v>52</v>
      </c>
      <c r="I311" s="24" t="s">
        <v>754</v>
      </c>
      <c r="J311" s="45">
        <f>96*200</f>
        <v>19200</v>
      </c>
      <c r="K311" s="169">
        <f t="shared" ref="K311" si="186">ROUND(IF(G311=36,J311*9%,0),0)</f>
        <v>1728</v>
      </c>
      <c r="L311" s="40">
        <f t="shared" ref="L311" si="187">ROUND(IF(G311=36,J311*9%,0),0)</f>
        <v>1728</v>
      </c>
      <c r="M311" s="40">
        <f t="shared" ref="M311" si="188">ROUND(IF(G311=36,J311*0%,J311*18%),0)</f>
        <v>0</v>
      </c>
      <c r="N311" s="41">
        <f t="shared" ref="N311" si="189">J311+K311+L311+M311</f>
        <v>22656</v>
      </c>
      <c r="O311" s="21">
        <v>1920</v>
      </c>
      <c r="P311" s="9">
        <f t="shared" ref="P311" si="190">O311/J311</f>
        <v>0.1</v>
      </c>
      <c r="Q311" s="23">
        <v>20736</v>
      </c>
      <c r="R311" s="67">
        <v>46041</v>
      </c>
      <c r="S311" s="6" t="s">
        <v>74</v>
      </c>
      <c r="T311" s="20" t="s">
        <v>147</v>
      </c>
      <c r="U311" s="8"/>
      <c r="V311" s="8"/>
    </row>
    <row r="312" spans="1:22" ht="30" customHeight="1" x14ac:dyDescent="0.3">
      <c r="A312" s="19">
        <f t="shared" si="168"/>
        <v>311</v>
      </c>
      <c r="B312" s="381" t="s">
        <v>856</v>
      </c>
      <c r="C312" s="46">
        <v>46015</v>
      </c>
      <c r="D312" s="130" t="s">
        <v>129</v>
      </c>
      <c r="E312" s="376" t="s">
        <v>791</v>
      </c>
      <c r="F312" s="130" t="s">
        <v>146</v>
      </c>
      <c r="G312" s="131">
        <v>36</v>
      </c>
      <c r="H312" s="8" t="s">
        <v>52</v>
      </c>
      <c r="I312" s="24" t="s">
        <v>793</v>
      </c>
      <c r="J312" s="45">
        <v>18200</v>
      </c>
      <c r="K312" s="169">
        <v>1638</v>
      </c>
      <c r="L312" s="40">
        <v>1638</v>
      </c>
      <c r="M312" s="40">
        <v>0</v>
      </c>
      <c r="N312" s="41">
        <v>21476</v>
      </c>
      <c r="O312" s="21">
        <v>1820</v>
      </c>
      <c r="P312" s="349">
        <v>0.1</v>
      </c>
      <c r="Q312" s="388">
        <v>19656</v>
      </c>
      <c r="R312" s="67">
        <v>46072</v>
      </c>
      <c r="S312" s="6" t="s">
        <v>74</v>
      </c>
      <c r="T312" s="20" t="s">
        <v>147</v>
      </c>
      <c r="U312" s="8"/>
      <c r="V312" s="8"/>
    </row>
    <row r="313" spans="1:22" ht="30" customHeight="1" x14ac:dyDescent="0.3">
      <c r="A313" s="19">
        <f t="shared" si="168"/>
        <v>312</v>
      </c>
      <c r="B313" s="381" t="s">
        <v>803</v>
      </c>
      <c r="C313" s="46">
        <v>46015</v>
      </c>
      <c r="D313" s="130" t="s">
        <v>129</v>
      </c>
      <c r="E313" s="376" t="s">
        <v>792</v>
      </c>
      <c r="F313" s="130" t="s">
        <v>131</v>
      </c>
      <c r="G313" s="131">
        <v>36</v>
      </c>
      <c r="H313" s="8" t="s">
        <v>51</v>
      </c>
      <c r="I313" s="24" t="s">
        <v>793</v>
      </c>
      <c r="J313" s="45">
        <v>600</v>
      </c>
      <c r="K313" s="169">
        <v>54</v>
      </c>
      <c r="L313" s="40">
        <v>54</v>
      </c>
      <c r="M313" s="40">
        <v>0</v>
      </c>
      <c r="N313" s="41">
        <v>708</v>
      </c>
      <c r="O313" s="49">
        <v>60</v>
      </c>
      <c r="P313" s="349">
        <v>0.1</v>
      </c>
      <c r="Q313" s="388">
        <v>648</v>
      </c>
      <c r="R313" s="67">
        <v>46036</v>
      </c>
      <c r="S313" s="6" t="s">
        <v>74</v>
      </c>
      <c r="T313" s="20" t="s">
        <v>147</v>
      </c>
      <c r="U313" s="8"/>
      <c r="V313" s="8"/>
    </row>
    <row r="314" spans="1:22" ht="30" customHeight="1" x14ac:dyDescent="0.3">
      <c r="A314" s="19">
        <f t="shared" si="168"/>
        <v>313</v>
      </c>
      <c r="B314" s="381" t="s">
        <v>856</v>
      </c>
      <c r="C314" s="46">
        <v>46042</v>
      </c>
      <c r="D314" s="130" t="s">
        <v>129</v>
      </c>
      <c r="E314" s="376" t="s">
        <v>836</v>
      </c>
      <c r="F314" s="130" t="s">
        <v>146</v>
      </c>
      <c r="G314" s="131">
        <v>36</v>
      </c>
      <c r="H314" s="8" t="s">
        <v>52</v>
      </c>
      <c r="I314" s="24" t="s">
        <v>838</v>
      </c>
      <c r="J314" s="39">
        <v>18200</v>
      </c>
      <c r="K314" s="169">
        <v>1638</v>
      </c>
      <c r="L314" s="40">
        <v>1638</v>
      </c>
      <c r="M314" s="40">
        <v>0</v>
      </c>
      <c r="N314" s="41">
        <v>21476</v>
      </c>
      <c r="O314" s="21">
        <v>1820</v>
      </c>
      <c r="P314" s="349">
        <v>0.1</v>
      </c>
      <c r="Q314" s="388">
        <v>19656</v>
      </c>
      <c r="R314" s="67">
        <v>46072</v>
      </c>
      <c r="S314" s="6" t="s">
        <v>74</v>
      </c>
      <c r="T314" s="20" t="s">
        <v>147</v>
      </c>
      <c r="U314" s="8"/>
      <c r="V314" s="8"/>
    </row>
    <row r="315" spans="1:22" ht="30" customHeight="1" x14ac:dyDescent="0.3">
      <c r="A315" s="19">
        <f t="shared" si="168"/>
        <v>314</v>
      </c>
      <c r="B315" s="381" t="s">
        <v>856</v>
      </c>
      <c r="C315" s="46">
        <v>46042</v>
      </c>
      <c r="D315" s="130" t="s">
        <v>129</v>
      </c>
      <c r="E315" s="376" t="s">
        <v>837</v>
      </c>
      <c r="F315" s="130" t="s">
        <v>131</v>
      </c>
      <c r="G315" s="131">
        <v>36</v>
      </c>
      <c r="H315" s="8" t="s">
        <v>51</v>
      </c>
      <c r="I315" s="24" t="s">
        <v>838</v>
      </c>
      <c r="J315" s="39">
        <v>600</v>
      </c>
      <c r="K315" s="169">
        <v>54</v>
      </c>
      <c r="L315" s="40">
        <v>54</v>
      </c>
      <c r="M315" s="40">
        <v>0</v>
      </c>
      <c r="N315" s="41">
        <v>708</v>
      </c>
      <c r="O315" s="49">
        <v>60</v>
      </c>
      <c r="P315" s="349">
        <v>0.1</v>
      </c>
      <c r="Q315" s="388">
        <v>648</v>
      </c>
      <c r="R315" s="67">
        <v>46071</v>
      </c>
      <c r="S315" s="6" t="s">
        <v>74</v>
      </c>
      <c r="T315" s="20" t="s">
        <v>147</v>
      </c>
      <c r="U315" s="8"/>
      <c r="V315" s="8"/>
    </row>
    <row r="316" spans="1:22" ht="30" customHeight="1" x14ac:dyDescent="0.3">
      <c r="A316" s="19">
        <f t="shared" si="168"/>
        <v>315</v>
      </c>
      <c r="B316" s="381" t="s">
        <v>803</v>
      </c>
      <c r="C316" s="46">
        <v>46025</v>
      </c>
      <c r="D316" s="334" t="s">
        <v>288</v>
      </c>
      <c r="E316" s="376" t="s">
        <v>804</v>
      </c>
      <c r="F316" s="376" t="s">
        <v>626</v>
      </c>
      <c r="G316" s="261">
        <v>24</v>
      </c>
      <c r="H316" s="8" t="s">
        <v>627</v>
      </c>
      <c r="I316" s="24" t="s">
        <v>808</v>
      </c>
      <c r="J316" s="39">
        <v>6156338</v>
      </c>
      <c r="K316" s="8">
        <v>0</v>
      </c>
      <c r="L316" s="8">
        <v>0</v>
      </c>
      <c r="M316" s="40">
        <v>1108141</v>
      </c>
      <c r="N316" s="41">
        <v>7264479</v>
      </c>
      <c r="O316" s="378">
        <v>124246</v>
      </c>
      <c r="P316" s="349">
        <v>2.0181802883467412E-2</v>
      </c>
      <c r="Q316" s="388">
        <v>7140233</v>
      </c>
      <c r="R316" s="67">
        <v>46045</v>
      </c>
      <c r="S316" s="394" t="s">
        <v>74</v>
      </c>
      <c r="T316" s="20" t="s">
        <v>147</v>
      </c>
      <c r="U316" s="8"/>
      <c r="V316" s="8"/>
    </row>
    <row r="317" spans="1:22" ht="30" customHeight="1" x14ac:dyDescent="0.3">
      <c r="A317" s="19">
        <f t="shared" si="168"/>
        <v>316</v>
      </c>
      <c r="B317" s="381" t="s">
        <v>856</v>
      </c>
      <c r="C317" s="46">
        <v>46055</v>
      </c>
      <c r="D317" s="334" t="s">
        <v>288</v>
      </c>
      <c r="E317" s="376" t="s">
        <v>855</v>
      </c>
      <c r="F317" s="376" t="s">
        <v>626</v>
      </c>
      <c r="G317" s="261">
        <v>24</v>
      </c>
      <c r="H317" s="8" t="s">
        <v>627</v>
      </c>
      <c r="I317" s="24" t="s">
        <v>863</v>
      </c>
      <c r="J317" s="39">
        <v>5859461</v>
      </c>
      <c r="K317" s="8">
        <v>0</v>
      </c>
      <c r="L317" s="8">
        <v>0</v>
      </c>
      <c r="M317" s="40">
        <v>1054703</v>
      </c>
      <c r="N317" s="41">
        <v>6914164</v>
      </c>
      <c r="O317" s="21">
        <v>117189.22</v>
      </c>
      <c r="P317" s="349">
        <v>0.02</v>
      </c>
      <c r="Q317" s="23">
        <v>6800074</v>
      </c>
      <c r="R317" s="67">
        <v>46076</v>
      </c>
      <c r="S317" s="6" t="s">
        <v>74</v>
      </c>
      <c r="T317" s="20" t="s">
        <v>147</v>
      </c>
      <c r="U317" s="8"/>
      <c r="V317" s="8"/>
    </row>
    <row r="318" spans="1:22" ht="30" customHeight="1" x14ac:dyDescent="0.3">
      <c r="A318" s="19">
        <f t="shared" si="168"/>
        <v>317</v>
      </c>
      <c r="B318" s="381" t="s">
        <v>908</v>
      </c>
      <c r="C318" s="46">
        <v>46058</v>
      </c>
      <c r="D318" s="46" t="s">
        <v>33</v>
      </c>
      <c r="E318" s="376" t="s">
        <v>857</v>
      </c>
      <c r="F318" s="260" t="s">
        <v>34</v>
      </c>
      <c r="G318" s="261">
        <v>36</v>
      </c>
      <c r="H318" s="8" t="s">
        <v>55</v>
      </c>
      <c r="I318" s="24" t="s">
        <v>861</v>
      </c>
      <c r="J318" s="39">
        <f>(72050*12)+(53350*1)+(99751*15)</f>
        <v>2414215</v>
      </c>
      <c r="K318" s="148">
        <f t="shared" ref="K318:K323" si="191">ROUND(IF(G318=36,J318*9%,0),0)</f>
        <v>217279</v>
      </c>
      <c r="L318" s="40">
        <f t="shared" ref="L318:L323" si="192">ROUND(IF(G318=36,J318*9%,0),0)</f>
        <v>217279</v>
      </c>
      <c r="M318" s="40">
        <f t="shared" ref="M318" si="193">ROUND(IF(G318=36,J318*0%,J318*18%),0)</f>
        <v>0</v>
      </c>
      <c r="N318" s="41">
        <f t="shared" ref="N318:N323" si="194">J318+K318+L318+M318</f>
        <v>2848773</v>
      </c>
      <c r="O318" s="49">
        <f>N318-Q318</f>
        <v>6034</v>
      </c>
      <c r="P318" s="9">
        <f t="shared" ref="P318:P323" si="195">O318/J318</f>
        <v>2.4993631470270877E-3</v>
      </c>
      <c r="Q318" s="8">
        <v>2842739</v>
      </c>
      <c r="R318" s="67">
        <v>46092</v>
      </c>
      <c r="S318" s="8" t="s">
        <v>74</v>
      </c>
      <c r="T318" s="20" t="s">
        <v>124</v>
      </c>
      <c r="U318" s="8"/>
      <c r="V318" s="8"/>
    </row>
    <row r="319" spans="1:22" ht="30" customHeight="1" x14ac:dyDescent="0.3">
      <c r="A319" s="19">
        <f t="shared" si="168"/>
        <v>318</v>
      </c>
      <c r="B319" s="381" t="s">
        <v>908</v>
      </c>
      <c r="C319" s="46">
        <v>46080</v>
      </c>
      <c r="D319" s="146" t="s">
        <v>288</v>
      </c>
      <c r="E319" s="376" t="s">
        <v>893</v>
      </c>
      <c r="F319" s="146" t="s">
        <v>289</v>
      </c>
      <c r="G319" s="147">
        <v>36</v>
      </c>
      <c r="H319" s="8" t="s">
        <v>287</v>
      </c>
      <c r="I319" s="24" t="s">
        <v>898</v>
      </c>
      <c r="J319" s="39">
        <v>450223</v>
      </c>
      <c r="K319" s="169">
        <f t="shared" si="191"/>
        <v>40520</v>
      </c>
      <c r="L319" s="40">
        <f t="shared" si="192"/>
        <v>40520</v>
      </c>
      <c r="M319" s="8"/>
      <c r="N319" s="41">
        <f t="shared" si="194"/>
        <v>531263</v>
      </c>
      <c r="O319" s="378">
        <f>J319*0.25%</f>
        <v>1125.5575000000001</v>
      </c>
      <c r="P319" s="349">
        <f t="shared" si="195"/>
        <v>2.5000000000000001E-3</v>
      </c>
      <c r="Q319" s="390">
        <f>N319-O319</f>
        <v>530137.4425</v>
      </c>
      <c r="R319" s="67">
        <v>46088</v>
      </c>
      <c r="S319" s="6" t="s">
        <v>74</v>
      </c>
      <c r="T319" s="20" t="s">
        <v>322</v>
      </c>
      <c r="U319" s="8"/>
      <c r="V319" s="8"/>
    </row>
    <row r="320" spans="1:22" ht="30" customHeight="1" x14ac:dyDescent="0.3">
      <c r="A320" s="19">
        <f t="shared" si="168"/>
        <v>319</v>
      </c>
      <c r="B320" s="381" t="s">
        <v>908</v>
      </c>
      <c r="C320" s="46">
        <v>46080</v>
      </c>
      <c r="D320" s="146" t="s">
        <v>288</v>
      </c>
      <c r="E320" s="376" t="s">
        <v>894</v>
      </c>
      <c r="F320" s="146" t="s">
        <v>289</v>
      </c>
      <c r="G320" s="147">
        <v>36</v>
      </c>
      <c r="H320" s="8" t="s">
        <v>287</v>
      </c>
      <c r="I320" s="24" t="s">
        <v>899</v>
      </c>
      <c r="J320" s="39">
        <v>143867.59</v>
      </c>
      <c r="K320" s="169">
        <f t="shared" si="191"/>
        <v>12948</v>
      </c>
      <c r="L320" s="40">
        <f t="shared" si="192"/>
        <v>12948</v>
      </c>
      <c r="M320" s="8"/>
      <c r="N320" s="41">
        <f t="shared" si="194"/>
        <v>169763.59</v>
      </c>
      <c r="O320" s="378">
        <f>J320*0.25%</f>
        <v>359.66897499999999</v>
      </c>
      <c r="P320" s="349">
        <f t="shared" si="195"/>
        <v>2.5000000000000001E-3</v>
      </c>
      <c r="Q320" s="390">
        <f>N320-O320</f>
        <v>169403.92102499999</v>
      </c>
      <c r="R320" s="67">
        <v>46088</v>
      </c>
      <c r="S320" s="6" t="s">
        <v>74</v>
      </c>
      <c r="T320" s="20" t="s">
        <v>322</v>
      </c>
      <c r="U320" s="8"/>
      <c r="V320" s="8"/>
    </row>
    <row r="321" spans="1:22" ht="30" customHeight="1" x14ac:dyDescent="0.3">
      <c r="A321" s="19">
        <f t="shared" si="168"/>
        <v>320</v>
      </c>
      <c r="B321" s="381" t="s">
        <v>908</v>
      </c>
      <c r="C321" s="46">
        <v>46080</v>
      </c>
      <c r="D321" s="146" t="s">
        <v>288</v>
      </c>
      <c r="E321" s="376" t="s">
        <v>895</v>
      </c>
      <c r="F321" s="146" t="s">
        <v>289</v>
      </c>
      <c r="G321" s="147">
        <v>36</v>
      </c>
      <c r="H321" s="8" t="s">
        <v>287</v>
      </c>
      <c r="I321" s="24" t="s">
        <v>898</v>
      </c>
      <c r="J321" s="39">
        <v>153179.84</v>
      </c>
      <c r="K321" s="169">
        <f t="shared" si="191"/>
        <v>13786</v>
      </c>
      <c r="L321" s="40">
        <f t="shared" si="192"/>
        <v>13786</v>
      </c>
      <c r="M321" s="8"/>
      <c r="N321" s="41">
        <f t="shared" si="194"/>
        <v>180751.84</v>
      </c>
      <c r="O321" s="378">
        <f>J321*0.25%</f>
        <v>382.94959999999998</v>
      </c>
      <c r="P321" s="349">
        <f t="shared" si="195"/>
        <v>2.5000000000000001E-3</v>
      </c>
      <c r="Q321" s="390">
        <f>N321-O321</f>
        <v>180368.8904</v>
      </c>
      <c r="R321" s="67">
        <v>46088</v>
      </c>
      <c r="S321" s="6" t="s">
        <v>74</v>
      </c>
      <c r="T321" s="20" t="s">
        <v>322</v>
      </c>
      <c r="U321" s="8"/>
      <c r="V321" s="8"/>
    </row>
    <row r="322" spans="1:22" ht="30" customHeight="1" x14ac:dyDescent="0.3">
      <c r="A322" s="19">
        <f t="shared" si="168"/>
        <v>321</v>
      </c>
      <c r="B322" s="381" t="s">
        <v>908</v>
      </c>
      <c r="C322" s="46">
        <v>46080</v>
      </c>
      <c r="D322" s="146" t="s">
        <v>288</v>
      </c>
      <c r="E322" s="376" t="s">
        <v>896</v>
      </c>
      <c r="F322" s="146" t="s">
        <v>289</v>
      </c>
      <c r="G322" s="147">
        <v>36</v>
      </c>
      <c r="H322" s="8" t="s">
        <v>287</v>
      </c>
      <c r="I322" s="24" t="s">
        <v>899</v>
      </c>
      <c r="J322" s="39">
        <v>8297.84</v>
      </c>
      <c r="K322" s="169">
        <f t="shared" si="191"/>
        <v>747</v>
      </c>
      <c r="L322" s="40">
        <f t="shared" si="192"/>
        <v>747</v>
      </c>
      <c r="M322" s="8"/>
      <c r="N322" s="41">
        <f t="shared" si="194"/>
        <v>9791.84</v>
      </c>
      <c r="O322" s="378">
        <f>J322*0.25%</f>
        <v>20.744600000000002</v>
      </c>
      <c r="P322" s="349">
        <f t="shared" si="195"/>
        <v>2.5000000000000001E-3</v>
      </c>
      <c r="Q322" s="390">
        <f>N322-O322</f>
        <v>9771.0954000000002</v>
      </c>
      <c r="R322" s="67">
        <v>46088</v>
      </c>
      <c r="S322" s="6" t="s">
        <v>74</v>
      </c>
      <c r="T322" s="20" t="s">
        <v>322</v>
      </c>
      <c r="U322" s="8"/>
      <c r="V322" s="8"/>
    </row>
    <row r="323" spans="1:22" ht="30" customHeight="1" x14ac:dyDescent="0.3">
      <c r="A323" s="19">
        <f t="shared" si="168"/>
        <v>322</v>
      </c>
      <c r="B323" s="381" t="s">
        <v>908</v>
      </c>
      <c r="C323" s="46">
        <v>46028</v>
      </c>
      <c r="D323" s="60" t="s">
        <v>33</v>
      </c>
      <c r="E323" s="376" t="s">
        <v>815</v>
      </c>
      <c r="F323" s="260" t="s">
        <v>37</v>
      </c>
      <c r="G323" s="261">
        <v>36</v>
      </c>
      <c r="H323" s="8" t="s">
        <v>38</v>
      </c>
      <c r="I323" s="24" t="s">
        <v>819</v>
      </c>
      <c r="J323" s="39">
        <f>(158333*2)+(190000*3)</f>
        <v>886666</v>
      </c>
      <c r="K323" s="43">
        <f t="shared" si="191"/>
        <v>79800</v>
      </c>
      <c r="L323" s="40">
        <f t="shared" si="192"/>
        <v>79800</v>
      </c>
      <c r="M323" s="40">
        <f t="shared" ref="M323" si="196">ROUND(IF(G323=36,J323*0%,J323*18%),0)</f>
        <v>0</v>
      </c>
      <c r="N323" s="41">
        <f t="shared" si="194"/>
        <v>1046266</v>
      </c>
      <c r="O323" s="386">
        <f>J323*10%</f>
        <v>88666.6</v>
      </c>
      <c r="P323" s="9">
        <f t="shared" si="195"/>
        <v>0.1</v>
      </c>
      <c r="Q323" s="23">
        <v>957599</v>
      </c>
      <c r="R323" s="67">
        <v>46093</v>
      </c>
      <c r="S323" s="8" t="s">
        <v>74</v>
      </c>
      <c r="T323" s="20" t="s">
        <v>124</v>
      </c>
      <c r="U323" s="8"/>
      <c r="V323" s="8"/>
    </row>
    <row r="324" spans="1:22" ht="30" customHeight="1" x14ac:dyDescent="0.3">
      <c r="A324" s="19">
        <f t="shared" si="168"/>
        <v>323</v>
      </c>
      <c r="B324" s="381" t="s">
        <v>908</v>
      </c>
      <c r="C324" s="46">
        <v>46084</v>
      </c>
      <c r="D324" s="380" t="s">
        <v>70</v>
      </c>
      <c r="E324" s="376" t="s">
        <v>904</v>
      </c>
      <c r="F324" s="20" t="s">
        <v>919</v>
      </c>
      <c r="G324" s="147">
        <v>37</v>
      </c>
      <c r="H324" s="8" t="s">
        <v>920</v>
      </c>
      <c r="I324" s="24" t="s">
        <v>921</v>
      </c>
      <c r="J324" s="39">
        <v>825818.66</v>
      </c>
      <c r="K324" s="8">
        <f t="shared" ref="K324" si="197">ROUND(IF(G324=36,J324*9%,0),0)</f>
        <v>0</v>
      </c>
      <c r="L324" s="8">
        <f t="shared" ref="L324" si="198">ROUND(IF(G324=36,J324*9%,0),0)</f>
        <v>0</v>
      </c>
      <c r="M324" s="386">
        <f t="shared" ref="M324" si="199">ROUND(IF(G324=36,J324*0%,J324*18%),0)</f>
        <v>148647</v>
      </c>
      <c r="N324" s="41">
        <f t="shared" ref="N324" si="200">J324+K324+L324+M324</f>
        <v>974465.66</v>
      </c>
      <c r="O324" s="49">
        <f>N324-Q324</f>
        <v>16516.010000000009</v>
      </c>
      <c r="P324" s="385">
        <f>O324/J324</f>
        <v>1.9999560194001925E-2</v>
      </c>
      <c r="Q324" s="8">
        <v>957949.65</v>
      </c>
      <c r="R324" s="377">
        <v>46099</v>
      </c>
      <c r="S324" s="8" t="s">
        <v>74</v>
      </c>
      <c r="T324" s="20" t="s">
        <v>943</v>
      </c>
      <c r="U324" s="8"/>
      <c r="V324" s="8"/>
    </row>
    <row r="325" spans="1:22" ht="30" customHeight="1" x14ac:dyDescent="0.3">
      <c r="A325" s="19">
        <f t="shared" si="168"/>
        <v>324</v>
      </c>
      <c r="B325" s="380" t="s">
        <v>995</v>
      </c>
      <c r="C325" s="46">
        <v>46112</v>
      </c>
      <c r="D325" s="380" t="s">
        <v>70</v>
      </c>
      <c r="E325" s="376" t="s">
        <v>968</v>
      </c>
      <c r="F325" s="20" t="s">
        <v>919</v>
      </c>
      <c r="G325" s="147">
        <v>37</v>
      </c>
      <c r="H325" s="8" t="s">
        <v>920</v>
      </c>
      <c r="I325" s="24" t="s">
        <v>969</v>
      </c>
      <c r="J325" s="39">
        <v>1224012</v>
      </c>
      <c r="K325" s="8">
        <f t="shared" ref="K325" si="201">ROUND(IF(G325=36,J325*9%,0),0)</f>
        <v>0</v>
      </c>
      <c r="L325" s="8">
        <f t="shared" ref="L325" si="202">ROUND(IF(G325=36,J325*9%,0),0)</f>
        <v>0</v>
      </c>
      <c r="M325" s="386">
        <f t="shared" ref="M325" si="203">ROUND(IF(G325=36,J325*0%,J325*18%),0)</f>
        <v>220322</v>
      </c>
      <c r="N325" s="41">
        <f t="shared" ref="N325" si="204">J325+K325+L325+M325</f>
        <v>1444334</v>
      </c>
      <c r="O325" s="49">
        <f>N325-Q325</f>
        <v>24480.080000000075</v>
      </c>
      <c r="P325" s="385">
        <f>O325/J325</f>
        <v>1.9999869282327359E-2</v>
      </c>
      <c r="Q325" s="8">
        <v>1419853.92</v>
      </c>
      <c r="R325" s="377">
        <v>46125</v>
      </c>
      <c r="S325" s="8" t="s">
        <v>74</v>
      </c>
      <c r="T325" s="20" t="s">
        <v>943</v>
      </c>
      <c r="U325" s="8"/>
      <c r="V325" s="8"/>
    </row>
    <row r="326" spans="1:22" ht="30" customHeight="1" x14ac:dyDescent="0.3">
      <c r="A326" s="19"/>
      <c r="B326" s="371"/>
      <c r="C326" s="46"/>
      <c r="D326" s="60"/>
      <c r="E326" s="310"/>
      <c r="F326" s="260"/>
      <c r="G326" s="261"/>
      <c r="H326" s="8"/>
      <c r="I326" s="24"/>
      <c r="J326" s="45">
        <f t="shared" ref="J326:O326" si="205">SUM(J2:J323)</f>
        <v>777125881.9413482</v>
      </c>
      <c r="K326" s="45">
        <f t="shared" si="205"/>
        <v>27706336</v>
      </c>
      <c r="L326" s="45">
        <f t="shared" si="205"/>
        <v>27480898</v>
      </c>
      <c r="M326" s="45">
        <f t="shared" si="205"/>
        <v>84920864.800000012</v>
      </c>
      <c r="N326" s="45">
        <f>SUM(N2:N325)</f>
        <v>919652780.40134811</v>
      </c>
      <c r="O326" s="45">
        <f t="shared" si="205"/>
        <v>6724252.6484578028</v>
      </c>
      <c r="P326" s="45"/>
      <c r="Q326" s="45">
        <f>SUM(Q2:Q323)</f>
        <v>910294069.54939008</v>
      </c>
      <c r="R326" s="67"/>
      <c r="S326" s="6"/>
      <c r="T326" s="10"/>
      <c r="U326" s="8"/>
      <c r="V326" s="8"/>
    </row>
  </sheetData>
  <autoFilter ref="A1:V1" xr:uid="{00000000-0001-0000-0100-000000000000}"/>
  <conditionalFormatting sqref="E1 E30 E246:E249">
    <cfRule type="duplicateValues" dxfId="2882" priority="18629"/>
  </conditionalFormatting>
  <conditionalFormatting sqref="E1 E246:E249">
    <cfRule type="duplicateValues" dxfId="2881" priority="18632"/>
  </conditionalFormatting>
  <conditionalFormatting sqref="E1:E33 E44 E48:E56 E46 E58:E59 E68:E91 E35:E41 E65:E66 E251 E246:E249">
    <cfRule type="duplicateValues" dxfId="2880" priority="18634"/>
  </conditionalFormatting>
  <conditionalFormatting sqref="E1:E155 E172 E174 E157:E170 E246:E251">
    <cfRule type="duplicateValues" dxfId="2879" priority="18644"/>
  </conditionalFormatting>
  <conditionalFormatting sqref="E2">
    <cfRule type="duplicateValues" dxfId="2878" priority="3389"/>
    <cfRule type="duplicateValues" dxfId="2877" priority="3375"/>
    <cfRule type="duplicateValues" dxfId="2876" priority="3374"/>
    <cfRule type="duplicateValues" dxfId="2875" priority="3373"/>
    <cfRule type="duplicateValues" dxfId="2874" priority="3372"/>
    <cfRule type="duplicateValues" dxfId="2873" priority="3371"/>
    <cfRule type="duplicateValues" dxfId="2872" priority="3395"/>
    <cfRule type="duplicateValues" dxfId="2871" priority="3369"/>
    <cfRule type="duplicateValues" dxfId="2870" priority="3368"/>
    <cfRule type="duplicateValues" dxfId="2869" priority="3385"/>
    <cfRule type="duplicateValues" dxfId="2868" priority="3386"/>
    <cfRule type="duplicateValues" dxfId="2867" priority="3381"/>
    <cfRule type="duplicateValues" dxfId="2866" priority="3388"/>
    <cfRule type="duplicateValues" dxfId="2865" priority="3390"/>
    <cfRule type="duplicateValues" dxfId="2864" priority="3391"/>
    <cfRule type="duplicateValues" dxfId="2863" priority="3392"/>
    <cfRule type="duplicateValues" dxfId="2862" priority="3393"/>
    <cfRule type="duplicateValues" dxfId="2861" priority="3394"/>
    <cfRule type="duplicateValues" dxfId="2860" priority="3396"/>
    <cfRule type="duplicateValues" dxfId="2859" priority="3387"/>
    <cfRule type="duplicateValues" dxfId="2858" priority="3370"/>
    <cfRule type="duplicateValues" dxfId="2857" priority="3365"/>
    <cfRule type="duplicateValues" dxfId="2856" priority="3367"/>
    <cfRule type="duplicateValues" dxfId="2855" priority="3366"/>
    <cfRule type="duplicateValues" dxfId="2854" priority="3384"/>
    <cfRule type="duplicateValues" dxfId="2853" priority="3383"/>
    <cfRule type="duplicateValues" dxfId="2852" priority="3382"/>
    <cfRule type="duplicateValues" dxfId="2851" priority="3380"/>
    <cfRule type="duplicateValues" dxfId="2850" priority="3379"/>
    <cfRule type="duplicateValues" dxfId="2849" priority="3378"/>
    <cfRule type="duplicateValues" dxfId="2848" priority="3377"/>
    <cfRule type="duplicateValues" dxfId="2847" priority="3376"/>
  </conditionalFormatting>
  <conditionalFormatting sqref="E3:E4">
    <cfRule type="duplicateValues" dxfId="2846" priority="3363"/>
    <cfRule type="duplicateValues" dxfId="2845" priority="3362"/>
    <cfRule type="duplicateValues" dxfId="2844" priority="3361"/>
    <cfRule type="duplicateValues" dxfId="2843" priority="3360"/>
    <cfRule type="duplicateValues" dxfId="2842" priority="3359"/>
    <cfRule type="duplicateValues" dxfId="2841" priority="3357"/>
    <cfRule type="duplicateValues" dxfId="2840" priority="3356"/>
    <cfRule type="duplicateValues" dxfId="2839" priority="3355"/>
    <cfRule type="duplicateValues" dxfId="2838" priority="3354"/>
    <cfRule type="duplicateValues" dxfId="2837" priority="3353"/>
    <cfRule type="duplicateValues" dxfId="2836" priority="3358"/>
    <cfRule type="duplicateValues" dxfId="2835" priority="3364"/>
  </conditionalFormatting>
  <conditionalFormatting sqref="E5">
    <cfRule type="duplicateValues" dxfId="2834" priority="3352"/>
    <cfRule type="duplicateValues" dxfId="2833" priority="3351"/>
    <cfRule type="duplicateValues" dxfId="2832" priority="3350"/>
    <cfRule type="duplicateValues" dxfId="2831" priority="3349"/>
    <cfRule type="duplicateValues" dxfId="2830" priority="3348"/>
    <cfRule type="duplicateValues" dxfId="2829" priority="3347"/>
    <cfRule type="duplicateValues" dxfId="2828" priority="3346"/>
    <cfRule type="duplicateValues" dxfId="2827" priority="3345"/>
    <cfRule type="duplicateValues" dxfId="2826" priority="3343"/>
    <cfRule type="duplicateValues" dxfId="2825" priority="3342"/>
    <cfRule type="duplicateValues" dxfId="2824" priority="3341"/>
    <cfRule type="duplicateValues" dxfId="2823" priority="3340"/>
    <cfRule type="duplicateValues" dxfId="2822" priority="3339"/>
    <cfRule type="duplicateValues" dxfId="2821" priority="3338"/>
    <cfRule type="duplicateValues" dxfId="2820" priority="3337"/>
    <cfRule type="duplicateValues" dxfId="2819" priority="3336"/>
    <cfRule type="duplicateValues" dxfId="2818" priority="3335"/>
    <cfRule type="duplicateValues" dxfId="2817" priority="3334"/>
    <cfRule type="duplicateValues" dxfId="2816" priority="3333"/>
    <cfRule type="duplicateValues" dxfId="2815" priority="3332"/>
    <cfRule type="duplicateValues" dxfId="2814" priority="3331"/>
    <cfRule type="duplicateValues" dxfId="2813" priority="3330"/>
    <cfRule type="duplicateValues" dxfId="2812" priority="3329"/>
    <cfRule type="duplicateValues" dxfId="2811" priority="3328"/>
    <cfRule type="duplicateValues" dxfId="2810" priority="3327"/>
    <cfRule type="duplicateValues" dxfId="2809" priority="3326"/>
    <cfRule type="duplicateValues" dxfId="2808" priority="3344"/>
  </conditionalFormatting>
  <conditionalFormatting sqref="E6">
    <cfRule type="duplicateValues" dxfId="2807" priority="3325"/>
    <cfRule type="duplicateValues" dxfId="2806" priority="3324"/>
    <cfRule type="duplicateValues" dxfId="2805" priority="3323"/>
    <cfRule type="duplicateValues" dxfId="2804" priority="3322"/>
    <cfRule type="duplicateValues" dxfId="2803" priority="3321"/>
    <cfRule type="duplicateValues" dxfId="2802" priority="3320"/>
    <cfRule type="duplicateValues" dxfId="2801" priority="3319"/>
    <cfRule type="duplicateValues" dxfId="2800" priority="3318"/>
    <cfRule type="duplicateValues" dxfId="2799" priority="3307"/>
    <cfRule type="duplicateValues" dxfId="2798" priority="3289"/>
    <cfRule type="duplicateValues" dxfId="2797" priority="3290"/>
    <cfRule type="duplicateValues" dxfId="2796" priority="3291"/>
    <cfRule type="duplicateValues" dxfId="2795" priority="3292"/>
    <cfRule type="duplicateValues" dxfId="2794" priority="3293"/>
    <cfRule type="duplicateValues" dxfId="2793" priority="3294"/>
    <cfRule type="duplicateValues" dxfId="2792" priority="3295"/>
    <cfRule type="duplicateValues" dxfId="2791" priority="3296"/>
    <cfRule type="duplicateValues" dxfId="2790" priority="3297"/>
    <cfRule type="duplicateValues" dxfId="2789" priority="3298"/>
    <cfRule type="duplicateValues" dxfId="2788" priority="3299"/>
    <cfRule type="duplicateValues" dxfId="2787" priority="3300"/>
    <cfRule type="duplicateValues" dxfId="2786" priority="3301"/>
    <cfRule type="duplicateValues" dxfId="2785" priority="3302"/>
    <cfRule type="duplicateValues" dxfId="2784" priority="3303"/>
    <cfRule type="duplicateValues" dxfId="2783" priority="3304"/>
    <cfRule type="duplicateValues" dxfId="2782" priority="3305"/>
    <cfRule type="duplicateValues" dxfId="2781" priority="3306"/>
    <cfRule type="duplicateValues" dxfId="2780" priority="3308"/>
    <cfRule type="duplicateValues" dxfId="2779" priority="3309"/>
    <cfRule type="duplicateValues" dxfId="2778" priority="3310"/>
    <cfRule type="duplicateValues" dxfId="2777" priority="3311"/>
    <cfRule type="duplicateValues" dxfId="2776" priority="3312"/>
    <cfRule type="duplicateValues" dxfId="2775" priority="3313"/>
    <cfRule type="duplicateValues" dxfId="2774" priority="3314"/>
    <cfRule type="duplicateValues" dxfId="2773" priority="3315"/>
    <cfRule type="duplicateValues" dxfId="2772" priority="3316"/>
    <cfRule type="duplicateValues" dxfId="2771" priority="3317"/>
  </conditionalFormatting>
  <conditionalFormatting sqref="E7">
    <cfRule type="duplicateValues" dxfId="2770" priority="3252"/>
    <cfRule type="duplicateValues" dxfId="2769" priority="3251"/>
    <cfRule type="duplicateValues" dxfId="2768" priority="3250"/>
    <cfRule type="duplicateValues" dxfId="2767" priority="3249"/>
    <cfRule type="duplicateValues" dxfId="2766" priority="3248"/>
    <cfRule type="duplicateValues" dxfId="2765" priority="3247"/>
    <cfRule type="duplicateValues" dxfId="2764" priority="3246"/>
    <cfRule type="duplicateValues" dxfId="2763" priority="3278"/>
    <cfRule type="duplicateValues" dxfId="2762" priority="3244"/>
    <cfRule type="duplicateValues" dxfId="2761" priority="3243"/>
    <cfRule type="duplicateValues" dxfId="2760" priority="3242"/>
    <cfRule type="duplicateValues" dxfId="2759" priority="3283"/>
    <cfRule type="duplicateValues" dxfId="2758" priority="3240"/>
    <cfRule type="duplicateValues" dxfId="2757" priority="3239"/>
    <cfRule type="duplicateValues" dxfId="2756" priority="3238"/>
    <cfRule type="duplicateValues" dxfId="2755" priority="3237"/>
    <cfRule type="duplicateValues" dxfId="2754" priority="3284"/>
    <cfRule type="duplicateValues" dxfId="2753" priority="3285"/>
    <cfRule type="duplicateValues" dxfId="2752" priority="3286"/>
    <cfRule type="duplicateValues" dxfId="2751" priority="3287"/>
    <cfRule type="duplicateValues" dxfId="2750" priority="3288"/>
    <cfRule type="duplicateValues" dxfId="2749" priority="3281"/>
    <cfRule type="duplicateValues" dxfId="2748" priority="3280"/>
    <cfRule type="duplicateValues" dxfId="2747" priority="3279"/>
    <cfRule type="duplicateValues" dxfId="2746" priority="3277"/>
    <cfRule type="duplicateValues" dxfId="2745" priority="3276"/>
    <cfRule type="duplicateValues" dxfId="2744" priority="3275"/>
    <cfRule type="duplicateValues" dxfId="2743" priority="3274"/>
    <cfRule type="duplicateValues" dxfId="2742" priority="3273"/>
    <cfRule type="duplicateValues" dxfId="2741" priority="3272"/>
    <cfRule type="duplicateValues" dxfId="2740" priority="3271"/>
    <cfRule type="duplicateValues" dxfId="2739" priority="3282"/>
    <cfRule type="duplicateValues" dxfId="2738" priority="3270"/>
    <cfRule type="duplicateValues" dxfId="2737" priority="3269"/>
    <cfRule type="duplicateValues" dxfId="2736" priority="3268"/>
    <cfRule type="duplicateValues" dxfId="2735" priority="3267"/>
    <cfRule type="duplicateValues" dxfId="2734" priority="3266"/>
    <cfRule type="duplicateValues" dxfId="2733" priority="3265"/>
    <cfRule type="duplicateValues" dxfId="2732" priority="3264"/>
    <cfRule type="duplicateValues" dxfId="2731" priority="3263"/>
    <cfRule type="duplicateValues" dxfId="2730" priority="3245"/>
    <cfRule type="duplicateValues" dxfId="2729" priority="3262"/>
    <cfRule type="duplicateValues" dxfId="2728" priority="3261"/>
    <cfRule type="duplicateValues" dxfId="2727" priority="3260"/>
    <cfRule type="duplicateValues" dxfId="2726" priority="3259"/>
    <cfRule type="duplicateValues" dxfId="2725" priority="3258"/>
    <cfRule type="duplicateValues" dxfId="2724" priority="3257"/>
    <cfRule type="duplicateValues" dxfId="2723" priority="3256"/>
    <cfRule type="duplicateValues" dxfId="2722" priority="3255"/>
    <cfRule type="duplicateValues" dxfId="2721" priority="3254"/>
    <cfRule type="duplicateValues" dxfId="2720" priority="3253"/>
    <cfRule type="duplicateValues" dxfId="2719" priority="3241"/>
  </conditionalFormatting>
  <conditionalFormatting sqref="E8">
    <cfRule type="duplicateValues" dxfId="2718" priority="2428"/>
    <cfRule type="duplicateValues" dxfId="2717" priority="2427"/>
    <cfRule type="duplicateValues" dxfId="2716" priority="2426"/>
    <cfRule type="duplicateValues" dxfId="2715" priority="2447"/>
    <cfRule type="duplicateValues" dxfId="2714" priority="2462"/>
    <cfRule type="duplicateValues" dxfId="2713" priority="2461"/>
    <cfRule type="duplicateValues" dxfId="2712" priority="2460"/>
    <cfRule type="duplicateValues" dxfId="2711" priority="2459"/>
    <cfRule type="duplicateValues" dxfId="2710" priority="2458"/>
    <cfRule type="duplicateValues" dxfId="2709" priority="2457"/>
    <cfRule type="duplicateValues" dxfId="2708" priority="2456"/>
    <cfRule type="duplicateValues" dxfId="2707" priority="2455"/>
    <cfRule type="duplicateValues" dxfId="2706" priority="2454"/>
    <cfRule type="duplicateValues" dxfId="2705" priority="2453"/>
    <cfRule type="duplicateValues" dxfId="2704" priority="2452"/>
    <cfRule type="duplicateValues" dxfId="2703" priority="2451"/>
    <cfRule type="duplicateValues" dxfId="2702" priority="2450"/>
    <cfRule type="duplicateValues" dxfId="2701" priority="2449"/>
    <cfRule type="duplicateValues" dxfId="2700" priority="2448"/>
    <cfRule type="duplicateValues" dxfId="2699" priority="2446"/>
    <cfRule type="duplicateValues" dxfId="2698" priority="2445"/>
    <cfRule type="duplicateValues" dxfId="2697" priority="2444"/>
    <cfRule type="duplicateValues" dxfId="2696" priority="2443"/>
    <cfRule type="duplicateValues" dxfId="2695" priority="2442"/>
    <cfRule type="duplicateValues" dxfId="2694" priority="2441"/>
    <cfRule type="duplicateValues" dxfId="2693" priority="2440"/>
    <cfRule type="duplicateValues" dxfId="2692" priority="2439"/>
    <cfRule type="duplicateValues" dxfId="2691" priority="2438"/>
    <cfRule type="duplicateValues" dxfId="2690" priority="2437"/>
    <cfRule type="duplicateValues" dxfId="2689" priority="2436"/>
    <cfRule type="duplicateValues" dxfId="2688" priority="2435"/>
    <cfRule type="duplicateValues" dxfId="2687" priority="2434"/>
    <cfRule type="duplicateValues" dxfId="2686" priority="2433"/>
    <cfRule type="duplicateValues" dxfId="2685" priority="2432"/>
    <cfRule type="duplicateValues" dxfId="2684" priority="2431"/>
    <cfRule type="duplicateValues" dxfId="2683" priority="2430"/>
    <cfRule type="duplicateValues" dxfId="2682" priority="2429"/>
  </conditionalFormatting>
  <conditionalFormatting sqref="E9">
    <cfRule type="duplicateValues" dxfId="2681" priority="3110"/>
    <cfRule type="duplicateValues" dxfId="2680" priority="3070"/>
    <cfRule type="duplicateValues" dxfId="2679" priority="3069"/>
    <cfRule type="duplicateValues" dxfId="2678" priority="3123"/>
    <cfRule type="duplicateValues" dxfId="2677" priority="3122"/>
    <cfRule type="duplicateValues" dxfId="2676" priority="3121"/>
    <cfRule type="duplicateValues" dxfId="2675" priority="3120"/>
    <cfRule type="duplicateValues" dxfId="2674" priority="3068"/>
    <cfRule type="duplicateValues" dxfId="2673" priority="3118"/>
    <cfRule type="duplicateValues" dxfId="2672" priority="3117"/>
    <cfRule type="duplicateValues" dxfId="2671" priority="3116"/>
    <cfRule type="duplicateValues" dxfId="2670" priority="3115"/>
    <cfRule type="duplicateValues" dxfId="2669" priority="3114"/>
    <cfRule type="duplicateValues" dxfId="2668" priority="3113"/>
    <cfRule type="duplicateValues" dxfId="2667" priority="3112"/>
    <cfRule type="duplicateValues" dxfId="2666" priority="3111"/>
    <cfRule type="duplicateValues" dxfId="2665" priority="3094"/>
    <cfRule type="duplicateValues" dxfId="2664" priority="3109"/>
    <cfRule type="duplicateValues" dxfId="2663" priority="3108"/>
    <cfRule type="duplicateValues" dxfId="2662" priority="3107"/>
    <cfRule type="duplicateValues" dxfId="2661" priority="3106"/>
    <cfRule type="duplicateValues" dxfId="2660" priority="3105"/>
    <cfRule type="duplicateValues" dxfId="2659" priority="3104"/>
    <cfRule type="duplicateValues" dxfId="2658" priority="3103"/>
    <cfRule type="duplicateValues" dxfId="2657" priority="3102"/>
    <cfRule type="duplicateValues" dxfId="2656" priority="3101"/>
    <cfRule type="duplicateValues" dxfId="2655" priority="3100"/>
    <cfRule type="duplicateValues" dxfId="2654" priority="3099"/>
    <cfRule type="duplicateValues" dxfId="2653" priority="3098"/>
    <cfRule type="duplicateValues" dxfId="2652" priority="3097"/>
    <cfRule type="duplicateValues" dxfId="2651" priority="3096"/>
    <cfRule type="duplicateValues" dxfId="2650" priority="3095"/>
    <cfRule type="duplicateValues" dxfId="2649" priority="3067"/>
    <cfRule type="duplicateValues" dxfId="2648" priority="3093"/>
    <cfRule type="duplicateValues" dxfId="2647" priority="3092"/>
    <cfRule type="duplicateValues" dxfId="2646" priority="3091"/>
    <cfRule type="duplicateValues" dxfId="2645" priority="3090"/>
    <cfRule type="duplicateValues" dxfId="2644" priority="3089"/>
    <cfRule type="duplicateValues" dxfId="2643" priority="3088"/>
    <cfRule type="duplicateValues" dxfId="2642" priority="3087"/>
    <cfRule type="duplicateValues" dxfId="2641" priority="3086"/>
    <cfRule type="duplicateValues" dxfId="2640" priority="3085"/>
    <cfRule type="duplicateValues" dxfId="2639" priority="3084"/>
    <cfRule type="duplicateValues" dxfId="2638" priority="3083"/>
    <cfRule type="duplicateValues" dxfId="2637" priority="3082"/>
    <cfRule type="duplicateValues" dxfId="2636" priority="3081"/>
    <cfRule type="duplicateValues" dxfId="2635" priority="3080"/>
    <cfRule type="duplicateValues" dxfId="2634" priority="3079"/>
    <cfRule type="duplicateValues" dxfId="2633" priority="3078"/>
    <cfRule type="duplicateValues" dxfId="2632" priority="3077"/>
    <cfRule type="duplicateValues" dxfId="2631" priority="3076"/>
    <cfRule type="duplicateValues" dxfId="2630" priority="3066"/>
    <cfRule type="duplicateValues" dxfId="2629" priority="3074"/>
    <cfRule type="duplicateValues" dxfId="2628" priority="3073"/>
    <cfRule type="duplicateValues" dxfId="2627" priority="3072"/>
    <cfRule type="duplicateValues" dxfId="2626" priority="3071"/>
    <cfRule type="duplicateValues" dxfId="2625" priority="3119"/>
    <cfRule type="duplicateValues" dxfId="2624" priority="3075"/>
    <cfRule type="duplicateValues" dxfId="2623" priority="3132"/>
    <cfRule type="duplicateValues" dxfId="2622" priority="3131"/>
    <cfRule type="duplicateValues" dxfId="2621" priority="3130"/>
    <cfRule type="duplicateValues" dxfId="2620" priority="3129"/>
    <cfRule type="duplicateValues" dxfId="2619" priority="3128"/>
    <cfRule type="duplicateValues" dxfId="2618" priority="3127"/>
    <cfRule type="duplicateValues" dxfId="2617" priority="3126"/>
    <cfRule type="duplicateValues" dxfId="2616" priority="3125"/>
    <cfRule type="duplicateValues" dxfId="2615" priority="3124"/>
  </conditionalFormatting>
  <conditionalFormatting sqref="E10">
    <cfRule type="duplicateValues" dxfId="2614" priority="3168"/>
    <cfRule type="duplicateValues" dxfId="2613" priority="3169"/>
    <cfRule type="duplicateValues" dxfId="2612" priority="3170"/>
    <cfRule type="duplicateValues" dxfId="2611" priority="3171"/>
    <cfRule type="duplicateValues" dxfId="2610" priority="3172"/>
    <cfRule type="duplicateValues" dxfId="2609" priority="3173"/>
    <cfRule type="duplicateValues" dxfId="2608" priority="3174"/>
    <cfRule type="duplicateValues" dxfId="2607" priority="3175"/>
    <cfRule type="duplicateValues" dxfId="2606" priority="3176"/>
    <cfRule type="duplicateValues" dxfId="2605" priority="3177"/>
    <cfRule type="duplicateValues" dxfId="2604" priority="3159"/>
    <cfRule type="duplicateValues" dxfId="2603" priority="3158"/>
    <cfRule type="duplicateValues" dxfId="2602" priority="3157"/>
    <cfRule type="duplicateValues" dxfId="2601" priority="3156"/>
    <cfRule type="duplicateValues" dxfId="2600" priority="3155"/>
    <cfRule type="duplicateValues" dxfId="2599" priority="3154"/>
    <cfRule type="duplicateValues" dxfId="2598" priority="3153"/>
    <cfRule type="duplicateValues" dxfId="2597" priority="3152"/>
    <cfRule type="duplicateValues" dxfId="2596" priority="3151"/>
    <cfRule type="duplicateValues" dxfId="2595" priority="3150"/>
    <cfRule type="duplicateValues" dxfId="2594" priority="3149"/>
    <cfRule type="duplicateValues" dxfId="2593" priority="3148"/>
    <cfRule type="duplicateValues" dxfId="2592" priority="3147"/>
    <cfRule type="duplicateValues" dxfId="2591" priority="3146"/>
    <cfRule type="duplicateValues" dxfId="2590" priority="3145"/>
    <cfRule type="duplicateValues" dxfId="2589" priority="3198"/>
    <cfRule type="duplicateValues" dxfId="2588" priority="3144"/>
    <cfRule type="duplicateValues" dxfId="2587" priority="3143"/>
    <cfRule type="duplicateValues" dxfId="2586" priority="3142"/>
    <cfRule type="duplicateValues" dxfId="2585" priority="3141"/>
    <cfRule type="duplicateValues" dxfId="2584" priority="3140"/>
    <cfRule type="duplicateValues" dxfId="2583" priority="3139"/>
    <cfRule type="duplicateValues" dxfId="2582" priority="3138"/>
    <cfRule type="duplicateValues" dxfId="2581" priority="3137"/>
    <cfRule type="duplicateValues" dxfId="2580" priority="3197"/>
    <cfRule type="duplicateValues" dxfId="2579" priority="3135"/>
    <cfRule type="duplicateValues" dxfId="2578" priority="3134"/>
    <cfRule type="duplicateValues" dxfId="2577" priority="3133"/>
    <cfRule type="duplicateValues" dxfId="2576" priority="3160"/>
    <cfRule type="duplicateValues" dxfId="2575" priority="3199"/>
    <cfRule type="duplicateValues" dxfId="2574" priority="3161"/>
    <cfRule type="duplicateValues" dxfId="2573" priority="3162"/>
    <cfRule type="duplicateValues" dxfId="2572" priority="3163"/>
    <cfRule type="duplicateValues" dxfId="2571" priority="3164"/>
    <cfRule type="duplicateValues" dxfId="2570" priority="3165"/>
    <cfRule type="duplicateValues" dxfId="2569" priority="3166"/>
    <cfRule type="duplicateValues" dxfId="2568" priority="3167"/>
    <cfRule type="duplicateValues" dxfId="2567" priority="3178"/>
    <cfRule type="duplicateValues" dxfId="2566" priority="3179"/>
    <cfRule type="duplicateValues" dxfId="2565" priority="3180"/>
    <cfRule type="duplicateValues" dxfId="2564" priority="3136"/>
    <cfRule type="duplicateValues" dxfId="2563" priority="3182"/>
    <cfRule type="duplicateValues" dxfId="2562" priority="3183"/>
    <cfRule type="duplicateValues" dxfId="2561" priority="3184"/>
    <cfRule type="duplicateValues" dxfId="2560" priority="3185"/>
    <cfRule type="duplicateValues" dxfId="2559" priority="3186"/>
    <cfRule type="duplicateValues" dxfId="2558" priority="3187"/>
    <cfRule type="duplicateValues" dxfId="2557" priority="3188"/>
    <cfRule type="duplicateValues" dxfId="2556" priority="3189"/>
    <cfRule type="duplicateValues" dxfId="2555" priority="3190"/>
    <cfRule type="duplicateValues" dxfId="2554" priority="3191"/>
    <cfRule type="duplicateValues" dxfId="2553" priority="3192"/>
    <cfRule type="duplicateValues" dxfId="2552" priority="3193"/>
    <cfRule type="duplicateValues" dxfId="2551" priority="3194"/>
    <cfRule type="duplicateValues" dxfId="2550" priority="3195"/>
    <cfRule type="duplicateValues" dxfId="2549" priority="3196"/>
    <cfRule type="duplicateValues" dxfId="2548" priority="3181"/>
  </conditionalFormatting>
  <conditionalFormatting sqref="E11">
    <cfRule type="duplicateValues" dxfId="2547" priority="2991"/>
    <cfRule type="duplicateValues" dxfId="2546" priority="2990"/>
    <cfRule type="duplicateValues" dxfId="2545" priority="2989"/>
    <cfRule type="duplicateValues" dxfId="2544" priority="2988"/>
    <cfRule type="duplicateValues" dxfId="2543" priority="2987"/>
    <cfRule type="duplicateValues" dxfId="2542" priority="2986"/>
    <cfRule type="duplicateValues" dxfId="2541" priority="2985"/>
    <cfRule type="duplicateValues" dxfId="2540" priority="2984"/>
    <cfRule type="duplicateValues" dxfId="2539" priority="2983"/>
    <cfRule type="duplicateValues" dxfId="2538" priority="2982"/>
    <cfRule type="duplicateValues" dxfId="2537" priority="2981"/>
    <cfRule type="duplicateValues" dxfId="2536" priority="2980"/>
    <cfRule type="duplicateValues" dxfId="2535" priority="2979"/>
    <cfRule type="duplicateValues" dxfId="2534" priority="2978"/>
    <cfRule type="duplicateValues" dxfId="2533" priority="2977"/>
    <cfRule type="duplicateValues" dxfId="2532" priority="2976"/>
    <cfRule type="duplicateValues" dxfId="2531" priority="2975"/>
    <cfRule type="duplicateValues" dxfId="2530" priority="2974"/>
    <cfRule type="duplicateValues" dxfId="2529" priority="2973"/>
    <cfRule type="duplicateValues" dxfId="2528" priority="2972"/>
    <cfRule type="duplicateValues" dxfId="2527" priority="2971"/>
    <cfRule type="duplicateValues" dxfId="2526" priority="2970"/>
    <cfRule type="duplicateValues" dxfId="2525" priority="2969"/>
    <cfRule type="duplicateValues" dxfId="2524" priority="2968"/>
    <cfRule type="duplicateValues" dxfId="2523" priority="2967"/>
    <cfRule type="duplicateValues" dxfId="2522" priority="2966"/>
    <cfRule type="duplicateValues" dxfId="2521" priority="2965"/>
    <cfRule type="duplicateValues" dxfId="2520" priority="2964"/>
    <cfRule type="duplicateValues" dxfId="2519" priority="2963"/>
    <cfRule type="duplicateValues" dxfId="2518" priority="2962"/>
    <cfRule type="duplicateValues" dxfId="2517" priority="2961"/>
    <cfRule type="duplicateValues" dxfId="2516" priority="2960"/>
    <cfRule type="duplicateValues" dxfId="2515" priority="2959"/>
    <cfRule type="duplicateValues" dxfId="2514" priority="2958"/>
    <cfRule type="duplicateValues" dxfId="2513" priority="2957"/>
    <cfRule type="duplicateValues" dxfId="2512" priority="2956"/>
    <cfRule type="duplicateValues" dxfId="2511" priority="2955"/>
    <cfRule type="duplicateValues" dxfId="2510" priority="2954"/>
    <cfRule type="duplicateValues" dxfId="2509" priority="2953"/>
    <cfRule type="duplicateValues" dxfId="2508" priority="2952"/>
    <cfRule type="duplicateValues" dxfId="2507" priority="2951"/>
    <cfRule type="duplicateValues" dxfId="2506" priority="2950"/>
    <cfRule type="duplicateValues" dxfId="2505" priority="2949"/>
    <cfRule type="duplicateValues" dxfId="2504" priority="2948"/>
    <cfRule type="duplicateValues" dxfId="2503" priority="2947"/>
    <cfRule type="duplicateValues" dxfId="2502" priority="3008"/>
    <cfRule type="duplicateValues" dxfId="2501" priority="3007"/>
    <cfRule type="duplicateValues" dxfId="2500" priority="3006"/>
    <cfRule type="duplicateValues" dxfId="2499" priority="3005"/>
    <cfRule type="duplicateValues" dxfId="2498" priority="3004"/>
    <cfRule type="duplicateValues" dxfId="2497" priority="3003"/>
    <cfRule type="duplicateValues" dxfId="2496" priority="3002"/>
    <cfRule type="duplicateValues" dxfId="2495" priority="3001"/>
    <cfRule type="duplicateValues" dxfId="2494" priority="3000"/>
    <cfRule type="duplicateValues" dxfId="2493" priority="2999"/>
    <cfRule type="duplicateValues" dxfId="2492" priority="2998"/>
    <cfRule type="duplicateValues" dxfId="2491" priority="2997"/>
    <cfRule type="duplicateValues" dxfId="2490" priority="2996"/>
    <cfRule type="duplicateValues" dxfId="2489" priority="2995"/>
    <cfRule type="duplicateValues" dxfId="2488" priority="2994"/>
    <cfRule type="duplicateValues" dxfId="2487" priority="2993"/>
    <cfRule type="duplicateValues" dxfId="2486" priority="2992"/>
  </conditionalFormatting>
  <conditionalFormatting sqref="E12">
    <cfRule type="duplicateValues" dxfId="2485" priority="3016"/>
    <cfRule type="duplicateValues" dxfId="2484" priority="3015"/>
    <cfRule type="duplicateValues" dxfId="2483" priority="3014"/>
    <cfRule type="duplicateValues" dxfId="2482" priority="3011"/>
    <cfRule type="duplicateValues" dxfId="2481" priority="3013"/>
    <cfRule type="duplicateValues" dxfId="2480" priority="3012"/>
    <cfRule type="duplicateValues" dxfId="2479" priority="3058"/>
    <cfRule type="duplicateValues" dxfId="2478" priority="3009"/>
    <cfRule type="duplicateValues" dxfId="2477" priority="3064"/>
    <cfRule type="duplicateValues" dxfId="2476" priority="3063"/>
    <cfRule type="duplicateValues" dxfId="2475" priority="3062"/>
    <cfRule type="duplicateValues" dxfId="2474" priority="3061"/>
    <cfRule type="duplicateValues" dxfId="2473" priority="3060"/>
    <cfRule type="duplicateValues" dxfId="2472" priority="3065"/>
    <cfRule type="duplicateValues" dxfId="2471" priority="3059"/>
    <cfRule type="duplicateValues" dxfId="2470" priority="3057"/>
    <cfRule type="duplicateValues" dxfId="2469" priority="3056"/>
    <cfRule type="duplicateValues" dxfId="2468" priority="3055"/>
    <cfRule type="duplicateValues" dxfId="2467" priority="3054"/>
    <cfRule type="duplicateValues" dxfId="2466" priority="3052"/>
    <cfRule type="duplicateValues" dxfId="2465" priority="3051"/>
    <cfRule type="duplicateValues" dxfId="2464" priority="3050"/>
    <cfRule type="duplicateValues" dxfId="2463" priority="3049"/>
    <cfRule type="duplicateValues" dxfId="2462" priority="3010"/>
    <cfRule type="duplicateValues" dxfId="2461" priority="3048"/>
    <cfRule type="duplicateValues" dxfId="2460" priority="3047"/>
    <cfRule type="duplicateValues" dxfId="2459" priority="3046"/>
    <cfRule type="duplicateValues" dxfId="2458" priority="3045"/>
    <cfRule type="duplicateValues" dxfId="2457" priority="3044"/>
    <cfRule type="duplicateValues" dxfId="2456" priority="3043"/>
    <cfRule type="duplicateValues" dxfId="2455" priority="3053"/>
    <cfRule type="duplicateValues" dxfId="2454" priority="3042"/>
    <cfRule type="duplicateValues" dxfId="2453" priority="3041"/>
    <cfRule type="duplicateValues" dxfId="2452" priority="3040"/>
    <cfRule type="duplicateValues" dxfId="2451" priority="3039"/>
    <cfRule type="duplicateValues" dxfId="2450" priority="3038"/>
    <cfRule type="duplicateValues" dxfId="2449" priority="3037"/>
    <cfRule type="duplicateValues" dxfId="2448" priority="3035"/>
    <cfRule type="duplicateValues" dxfId="2447" priority="3034"/>
    <cfRule type="duplicateValues" dxfId="2446" priority="3033"/>
    <cfRule type="duplicateValues" dxfId="2445" priority="3032"/>
    <cfRule type="duplicateValues" dxfId="2444" priority="3019"/>
    <cfRule type="duplicateValues" dxfId="2443" priority="3031"/>
    <cfRule type="duplicateValues" dxfId="2442" priority="3030"/>
    <cfRule type="duplicateValues" dxfId="2441" priority="3029"/>
    <cfRule type="duplicateValues" dxfId="2440" priority="3028"/>
    <cfRule type="duplicateValues" dxfId="2439" priority="3027"/>
    <cfRule type="duplicateValues" dxfId="2438" priority="3026"/>
    <cfRule type="duplicateValues" dxfId="2437" priority="3025"/>
    <cfRule type="duplicateValues" dxfId="2436" priority="3024"/>
    <cfRule type="duplicateValues" dxfId="2435" priority="3023"/>
    <cfRule type="duplicateValues" dxfId="2434" priority="3022"/>
    <cfRule type="duplicateValues" dxfId="2433" priority="3021"/>
    <cfRule type="duplicateValues" dxfId="2432" priority="3020"/>
    <cfRule type="duplicateValues" dxfId="2431" priority="3036"/>
    <cfRule type="duplicateValues" dxfId="2430" priority="3018"/>
    <cfRule type="duplicateValues" dxfId="2429" priority="3017"/>
  </conditionalFormatting>
  <conditionalFormatting sqref="E13:E14">
    <cfRule type="duplicateValues" dxfId="2428" priority="2900"/>
    <cfRule type="duplicateValues" dxfId="2427" priority="2929"/>
    <cfRule type="duplicateValues" dxfId="2426" priority="2928"/>
    <cfRule type="duplicateValues" dxfId="2425" priority="2927"/>
    <cfRule type="duplicateValues" dxfId="2424" priority="2926"/>
    <cfRule type="duplicateValues" dxfId="2423" priority="2925"/>
    <cfRule type="duplicateValues" dxfId="2422" priority="2924"/>
    <cfRule type="duplicateValues" dxfId="2421" priority="2923"/>
    <cfRule type="duplicateValues" dxfId="2420" priority="2922"/>
    <cfRule type="duplicateValues" dxfId="2419" priority="2921"/>
    <cfRule type="duplicateValues" dxfId="2418" priority="2920"/>
    <cfRule type="duplicateValues" dxfId="2417" priority="2919"/>
    <cfRule type="duplicateValues" dxfId="2416" priority="2918"/>
    <cfRule type="duplicateValues" dxfId="2415" priority="2916"/>
    <cfRule type="duplicateValues" dxfId="2414" priority="2915"/>
    <cfRule type="duplicateValues" dxfId="2413" priority="2914"/>
    <cfRule type="duplicateValues" dxfId="2412" priority="2913"/>
    <cfRule type="duplicateValues" dxfId="2411" priority="2912"/>
    <cfRule type="duplicateValues" dxfId="2410" priority="2911"/>
    <cfRule type="duplicateValues" dxfId="2409" priority="2910"/>
    <cfRule type="duplicateValues" dxfId="2408" priority="2909"/>
    <cfRule type="duplicateValues" dxfId="2407" priority="2908"/>
    <cfRule type="duplicateValues" dxfId="2406" priority="2907"/>
    <cfRule type="duplicateValues" dxfId="2405" priority="2906"/>
    <cfRule type="duplicateValues" dxfId="2404" priority="2905"/>
    <cfRule type="duplicateValues" dxfId="2403" priority="2904"/>
    <cfRule type="duplicateValues" dxfId="2402" priority="2903"/>
    <cfRule type="duplicateValues" dxfId="2401" priority="2902"/>
    <cfRule type="duplicateValues" dxfId="2400" priority="2901"/>
    <cfRule type="duplicateValues" dxfId="2399" priority="2899"/>
    <cfRule type="duplicateValues" dxfId="2398" priority="2898"/>
    <cfRule type="duplicateValues" dxfId="2397" priority="2897"/>
    <cfRule type="duplicateValues" dxfId="2396" priority="2896"/>
    <cfRule type="duplicateValues" dxfId="2395" priority="2895"/>
    <cfRule type="duplicateValues" dxfId="2394" priority="2894"/>
    <cfRule type="duplicateValues" dxfId="2393" priority="2893"/>
    <cfRule type="duplicateValues" dxfId="2392" priority="2892"/>
    <cfRule type="duplicateValues" dxfId="2391" priority="2891"/>
    <cfRule type="duplicateValues" dxfId="2390" priority="2890"/>
    <cfRule type="duplicateValues" dxfId="2389" priority="2888"/>
    <cfRule type="duplicateValues" dxfId="2388" priority="2887"/>
    <cfRule type="duplicateValues" dxfId="2387" priority="2886"/>
    <cfRule type="duplicateValues" dxfId="2386" priority="2885"/>
    <cfRule type="duplicateValues" dxfId="2385" priority="2884"/>
    <cfRule type="duplicateValues" dxfId="2384" priority="2883"/>
    <cfRule type="duplicateValues" dxfId="2383" priority="2882"/>
    <cfRule type="duplicateValues" dxfId="2382" priority="2881"/>
    <cfRule type="duplicateValues" dxfId="2381" priority="2880"/>
    <cfRule type="duplicateValues" dxfId="2380" priority="2945"/>
    <cfRule type="duplicateValues" dxfId="2379" priority="2889"/>
    <cfRule type="duplicateValues" dxfId="2378" priority="2917"/>
    <cfRule type="duplicateValues" dxfId="2377" priority="2946"/>
  </conditionalFormatting>
  <conditionalFormatting sqref="E14">
    <cfRule type="duplicateValues" dxfId="2376" priority="2942"/>
    <cfRule type="duplicateValues" dxfId="2375" priority="2941"/>
    <cfRule type="duplicateValues" dxfId="2374" priority="2940"/>
    <cfRule type="duplicateValues" dxfId="2373" priority="2939"/>
    <cfRule type="duplicateValues" dxfId="2372" priority="2938"/>
    <cfRule type="duplicateValues" dxfId="2371" priority="2937"/>
    <cfRule type="duplicateValues" dxfId="2370" priority="2936"/>
    <cfRule type="duplicateValues" dxfId="2369" priority="2935"/>
    <cfRule type="duplicateValues" dxfId="2368" priority="2934"/>
    <cfRule type="duplicateValues" dxfId="2367" priority="2933"/>
    <cfRule type="duplicateValues" dxfId="2366" priority="2932"/>
    <cfRule type="duplicateValues" dxfId="2365" priority="2931"/>
    <cfRule type="duplicateValues" dxfId="2364" priority="2930"/>
    <cfRule type="duplicateValues" dxfId="2363" priority="2944"/>
    <cfRule type="duplicateValues" dxfId="2362" priority="2943"/>
  </conditionalFormatting>
  <conditionalFormatting sqref="E15">
    <cfRule type="duplicateValues" dxfId="2361" priority="2879"/>
    <cfRule type="duplicateValues" dxfId="2360" priority="2878"/>
    <cfRule type="duplicateValues" dxfId="2359" priority="2877"/>
    <cfRule type="duplicateValues" dxfId="2358" priority="2876"/>
    <cfRule type="duplicateValues" dxfId="2357" priority="2875"/>
    <cfRule type="duplicateValues" dxfId="2356" priority="2874"/>
    <cfRule type="duplicateValues" dxfId="2355" priority="2873"/>
    <cfRule type="duplicateValues" dxfId="2354" priority="2872"/>
    <cfRule type="duplicateValues" dxfId="2353" priority="2871"/>
    <cfRule type="duplicateValues" dxfId="2352" priority="2870"/>
    <cfRule type="duplicateValues" dxfId="2351" priority="2869"/>
    <cfRule type="duplicateValues" dxfId="2350" priority="2868"/>
    <cfRule type="duplicateValues" dxfId="2349" priority="2813"/>
    <cfRule type="duplicateValues" dxfId="2348" priority="2848"/>
    <cfRule type="duplicateValues" dxfId="2347" priority="2837"/>
    <cfRule type="duplicateValues" dxfId="2346" priority="2814"/>
    <cfRule type="duplicateValues" dxfId="2345" priority="2815"/>
    <cfRule type="duplicateValues" dxfId="2344" priority="2816"/>
    <cfRule type="duplicateValues" dxfId="2343" priority="2817"/>
    <cfRule type="duplicateValues" dxfId="2342" priority="2818"/>
    <cfRule type="duplicateValues" dxfId="2341" priority="2819"/>
    <cfRule type="duplicateValues" dxfId="2340" priority="2823"/>
    <cfRule type="duplicateValues" dxfId="2339" priority="2820"/>
    <cfRule type="duplicateValues" dxfId="2338" priority="2821"/>
    <cfRule type="duplicateValues" dxfId="2337" priority="2822"/>
    <cfRule type="duplicateValues" dxfId="2336" priority="2824"/>
    <cfRule type="duplicateValues" dxfId="2335" priority="2825"/>
    <cfRule type="duplicateValues" dxfId="2334" priority="2826"/>
    <cfRule type="duplicateValues" dxfId="2333" priority="2827"/>
    <cfRule type="duplicateValues" dxfId="2332" priority="2828"/>
    <cfRule type="duplicateValues" dxfId="2331" priority="2829"/>
    <cfRule type="duplicateValues" dxfId="2330" priority="2830"/>
    <cfRule type="duplicateValues" dxfId="2329" priority="2831"/>
    <cfRule type="duplicateValues" dxfId="2328" priority="2832"/>
    <cfRule type="duplicateValues" dxfId="2327" priority="2833"/>
    <cfRule type="duplicateValues" dxfId="2326" priority="2834"/>
    <cfRule type="duplicateValues" dxfId="2325" priority="2835"/>
    <cfRule type="duplicateValues" dxfId="2324" priority="2836"/>
    <cfRule type="duplicateValues" dxfId="2323" priority="2838"/>
    <cfRule type="duplicateValues" dxfId="2322" priority="2839"/>
    <cfRule type="duplicateValues" dxfId="2321" priority="2840"/>
    <cfRule type="duplicateValues" dxfId="2320" priority="2841"/>
    <cfRule type="duplicateValues" dxfId="2319" priority="2842"/>
    <cfRule type="duplicateValues" dxfId="2318" priority="2843"/>
    <cfRule type="duplicateValues" dxfId="2317" priority="2844"/>
    <cfRule type="duplicateValues" dxfId="2316" priority="2845"/>
    <cfRule type="duplicateValues" dxfId="2315" priority="2846"/>
    <cfRule type="duplicateValues" dxfId="2314" priority="2847"/>
    <cfRule type="duplicateValues" dxfId="2313" priority="2849"/>
    <cfRule type="duplicateValues" dxfId="2312" priority="2850"/>
    <cfRule type="duplicateValues" dxfId="2311" priority="2851"/>
    <cfRule type="duplicateValues" dxfId="2310" priority="2852"/>
    <cfRule type="duplicateValues" dxfId="2309" priority="2853"/>
    <cfRule type="duplicateValues" dxfId="2308" priority="2854"/>
    <cfRule type="duplicateValues" dxfId="2307" priority="2855"/>
    <cfRule type="duplicateValues" dxfId="2306" priority="2856"/>
    <cfRule type="duplicateValues" dxfId="2305" priority="2857"/>
    <cfRule type="duplicateValues" dxfId="2304" priority="2858"/>
    <cfRule type="duplicateValues" dxfId="2303" priority="2859"/>
    <cfRule type="duplicateValues" dxfId="2302" priority="2860"/>
    <cfRule type="duplicateValues" dxfId="2301" priority="2861"/>
    <cfRule type="duplicateValues" dxfId="2300" priority="2862"/>
    <cfRule type="duplicateValues" dxfId="2299" priority="2863"/>
    <cfRule type="duplicateValues" dxfId="2298" priority="2864"/>
    <cfRule type="duplicateValues" dxfId="2297" priority="2865"/>
    <cfRule type="duplicateValues" dxfId="2296" priority="2866"/>
    <cfRule type="duplicateValues" dxfId="2295" priority="2867"/>
  </conditionalFormatting>
  <conditionalFormatting sqref="E16">
    <cfRule type="duplicateValues" dxfId="2294" priority="2400"/>
    <cfRule type="duplicateValues" dxfId="2293" priority="2401"/>
    <cfRule type="duplicateValues" dxfId="2292" priority="2402"/>
    <cfRule type="duplicateValues" dxfId="2291" priority="2403"/>
    <cfRule type="duplicateValues" dxfId="2290" priority="2404"/>
    <cfRule type="duplicateValues" dxfId="2289" priority="2405"/>
    <cfRule type="duplicateValues" dxfId="2288" priority="2424"/>
    <cfRule type="duplicateValues" dxfId="2287" priority="2406"/>
    <cfRule type="duplicateValues" dxfId="2286" priority="2390"/>
    <cfRule type="duplicateValues" dxfId="2285" priority="2407"/>
    <cfRule type="duplicateValues" dxfId="2284" priority="2408"/>
    <cfRule type="duplicateValues" dxfId="2283" priority="2409"/>
    <cfRule type="duplicateValues" dxfId="2282" priority="2410"/>
    <cfRule type="duplicateValues" dxfId="2281" priority="2411"/>
    <cfRule type="duplicateValues" dxfId="2280" priority="2412"/>
    <cfRule type="duplicateValues" dxfId="2279" priority="2413"/>
    <cfRule type="duplicateValues" dxfId="2278" priority="2414"/>
    <cfRule type="duplicateValues" dxfId="2277" priority="2415"/>
    <cfRule type="duplicateValues" dxfId="2276" priority="2416"/>
    <cfRule type="duplicateValues" dxfId="2275" priority="2418"/>
    <cfRule type="duplicateValues" dxfId="2274" priority="2419"/>
    <cfRule type="duplicateValues" dxfId="2273" priority="2376"/>
    <cfRule type="duplicateValues" dxfId="2272" priority="2420"/>
    <cfRule type="duplicateValues" dxfId="2271" priority="2421"/>
    <cfRule type="duplicateValues" dxfId="2270" priority="2422"/>
    <cfRule type="duplicateValues" dxfId="2269" priority="2423"/>
    <cfRule type="duplicateValues" dxfId="2268" priority="2425"/>
    <cfRule type="duplicateValues" dxfId="2267" priority="2375"/>
    <cfRule type="duplicateValues" dxfId="2266" priority="2374"/>
    <cfRule type="duplicateValues" dxfId="2265" priority="2394"/>
    <cfRule type="duplicateValues" dxfId="2264" priority="2392"/>
    <cfRule type="duplicateValues" dxfId="2263" priority="2393"/>
    <cfRule type="duplicateValues" dxfId="2262" priority="2395"/>
    <cfRule type="duplicateValues" dxfId="2261" priority="2396"/>
    <cfRule type="duplicateValues" dxfId="2260" priority="2397"/>
    <cfRule type="duplicateValues" dxfId="2259" priority="2398"/>
    <cfRule type="duplicateValues" dxfId="2258" priority="2399"/>
    <cfRule type="duplicateValues" dxfId="2257" priority="2377"/>
    <cfRule type="duplicateValues" dxfId="2256" priority="2378"/>
    <cfRule type="duplicateValues" dxfId="2255" priority="2379"/>
    <cfRule type="duplicateValues" dxfId="2254" priority="2380"/>
    <cfRule type="duplicateValues" dxfId="2253" priority="2381"/>
    <cfRule type="duplicateValues" dxfId="2252" priority="2382"/>
    <cfRule type="duplicateValues" dxfId="2251" priority="2383"/>
    <cfRule type="duplicateValues" dxfId="2250" priority="2384"/>
    <cfRule type="duplicateValues" dxfId="2249" priority="2385"/>
    <cfRule type="duplicateValues" dxfId="2248" priority="2386"/>
    <cfRule type="duplicateValues" dxfId="2247" priority="2387"/>
    <cfRule type="duplicateValues" dxfId="2246" priority="2388"/>
    <cfRule type="duplicateValues" dxfId="2245" priority="2389"/>
    <cfRule type="duplicateValues" dxfId="2244" priority="2391"/>
    <cfRule type="duplicateValues" dxfId="2243" priority="2417"/>
  </conditionalFormatting>
  <conditionalFormatting sqref="E17">
    <cfRule type="duplicateValues" dxfId="2242" priority="2754"/>
    <cfRule type="duplicateValues" dxfId="2241" priority="2812"/>
    <cfRule type="duplicateValues" dxfId="2240" priority="2811"/>
    <cfRule type="duplicateValues" dxfId="2239" priority="2810"/>
    <cfRule type="duplicateValues" dxfId="2238" priority="2809"/>
    <cfRule type="duplicateValues" dxfId="2237" priority="2808"/>
    <cfRule type="duplicateValues" dxfId="2236" priority="2807"/>
    <cfRule type="duplicateValues" dxfId="2235" priority="2806"/>
    <cfRule type="duplicateValues" dxfId="2234" priority="2805"/>
    <cfRule type="duplicateValues" dxfId="2233" priority="2804"/>
    <cfRule type="duplicateValues" dxfId="2232" priority="2803"/>
    <cfRule type="duplicateValues" dxfId="2231" priority="2802"/>
    <cfRule type="duplicateValues" dxfId="2230" priority="2801"/>
    <cfRule type="duplicateValues" dxfId="2229" priority="2800"/>
    <cfRule type="duplicateValues" dxfId="2228" priority="2799"/>
    <cfRule type="duplicateValues" dxfId="2227" priority="2798"/>
    <cfRule type="duplicateValues" dxfId="2226" priority="2797"/>
    <cfRule type="duplicateValues" dxfId="2225" priority="2796"/>
    <cfRule type="duplicateValues" dxfId="2224" priority="2795"/>
    <cfRule type="duplicateValues" dxfId="2223" priority="2794"/>
    <cfRule type="duplicateValues" dxfId="2222" priority="2793"/>
    <cfRule type="duplicateValues" dxfId="2221" priority="2792"/>
    <cfRule type="duplicateValues" dxfId="2220" priority="2791"/>
    <cfRule type="duplicateValues" dxfId="2219" priority="2790"/>
    <cfRule type="duplicateValues" dxfId="2218" priority="2789"/>
    <cfRule type="duplicateValues" dxfId="2217" priority="2788"/>
    <cfRule type="duplicateValues" dxfId="2216" priority="2787"/>
    <cfRule type="duplicateValues" dxfId="2215" priority="2786"/>
    <cfRule type="duplicateValues" dxfId="2214" priority="2760"/>
    <cfRule type="duplicateValues" dxfId="2213" priority="2759"/>
    <cfRule type="duplicateValues" dxfId="2212" priority="2758"/>
    <cfRule type="duplicateValues" dxfId="2211" priority="2757"/>
    <cfRule type="duplicateValues" dxfId="2210" priority="2756"/>
    <cfRule type="duplicateValues" dxfId="2209" priority="2755"/>
    <cfRule type="duplicateValues" dxfId="2208" priority="2753"/>
    <cfRule type="duplicateValues" dxfId="2207" priority="2752"/>
    <cfRule type="duplicateValues" dxfId="2206" priority="2751"/>
    <cfRule type="duplicateValues" dxfId="2205" priority="2750"/>
    <cfRule type="duplicateValues" dxfId="2204" priority="2749"/>
    <cfRule type="duplicateValues" dxfId="2203" priority="2748"/>
    <cfRule type="duplicateValues" dxfId="2202" priority="2747"/>
    <cfRule type="duplicateValues" dxfId="2201" priority="2746"/>
    <cfRule type="duplicateValues" dxfId="2200" priority="2745"/>
    <cfRule type="duplicateValues" dxfId="2199" priority="2744"/>
    <cfRule type="duplicateValues" dxfId="2198" priority="2743"/>
    <cfRule type="duplicateValues" dxfId="2197" priority="2742"/>
    <cfRule type="duplicateValues" dxfId="2196" priority="2741"/>
    <cfRule type="duplicateValues" dxfId="2195" priority="2740"/>
    <cfRule type="duplicateValues" dxfId="2194" priority="2739"/>
    <cfRule type="duplicateValues" dxfId="2193" priority="2738"/>
    <cfRule type="duplicateValues" dxfId="2192" priority="2737"/>
    <cfRule type="duplicateValues" dxfId="2191" priority="2736"/>
  </conditionalFormatting>
  <conditionalFormatting sqref="E18">
    <cfRule type="duplicateValues" dxfId="2190" priority="2678"/>
    <cfRule type="duplicateValues" dxfId="2189" priority="2735"/>
    <cfRule type="duplicateValues" dxfId="2188" priority="2734"/>
    <cfRule type="duplicateValues" dxfId="2187" priority="2733"/>
    <cfRule type="duplicateValues" dxfId="2186" priority="2732"/>
    <cfRule type="duplicateValues" dxfId="2185" priority="2731"/>
    <cfRule type="duplicateValues" dxfId="2184" priority="2730"/>
    <cfRule type="duplicateValues" dxfId="2183" priority="2729"/>
    <cfRule type="duplicateValues" dxfId="2182" priority="2728"/>
    <cfRule type="duplicateValues" dxfId="2181" priority="2727"/>
    <cfRule type="duplicateValues" dxfId="2180" priority="2726"/>
    <cfRule type="duplicateValues" dxfId="2179" priority="2725"/>
    <cfRule type="duplicateValues" dxfId="2178" priority="2724"/>
    <cfRule type="duplicateValues" dxfId="2177" priority="2723"/>
    <cfRule type="duplicateValues" dxfId="2176" priority="2722"/>
    <cfRule type="duplicateValues" dxfId="2175" priority="2721"/>
    <cfRule type="duplicateValues" dxfId="2174" priority="2720"/>
    <cfRule type="duplicateValues" dxfId="2173" priority="2719"/>
    <cfRule type="duplicateValues" dxfId="2172" priority="2718"/>
    <cfRule type="duplicateValues" dxfId="2171" priority="2717"/>
    <cfRule type="duplicateValues" dxfId="2170" priority="2716"/>
    <cfRule type="duplicateValues" dxfId="2169" priority="2715"/>
    <cfRule type="duplicateValues" dxfId="2168" priority="2714"/>
    <cfRule type="duplicateValues" dxfId="2167" priority="2713"/>
    <cfRule type="duplicateValues" dxfId="2166" priority="2712"/>
    <cfRule type="duplicateValues" dxfId="2165" priority="2711"/>
    <cfRule type="duplicateValues" dxfId="2164" priority="2710"/>
    <cfRule type="duplicateValues" dxfId="2163" priority="2709"/>
    <cfRule type="duplicateValues" dxfId="2162" priority="2708"/>
    <cfRule type="duplicateValues" dxfId="2161" priority="2707"/>
    <cfRule type="duplicateValues" dxfId="2160" priority="2706"/>
    <cfRule type="duplicateValues" dxfId="2159" priority="2705"/>
    <cfRule type="duplicateValues" dxfId="2158" priority="2704"/>
    <cfRule type="duplicateValues" dxfId="2157" priority="2703"/>
    <cfRule type="duplicateValues" dxfId="2156" priority="2702"/>
    <cfRule type="duplicateValues" dxfId="2155" priority="2701"/>
    <cfRule type="duplicateValues" dxfId="2154" priority="2700"/>
    <cfRule type="duplicateValues" dxfId="2153" priority="2699"/>
    <cfRule type="duplicateValues" dxfId="2152" priority="2698"/>
    <cfRule type="duplicateValues" dxfId="2151" priority="2676"/>
    <cfRule type="duplicateValues" dxfId="2150" priority="2696"/>
    <cfRule type="duplicateValues" dxfId="2149" priority="2695"/>
    <cfRule type="duplicateValues" dxfId="2148" priority="2694"/>
    <cfRule type="duplicateValues" dxfId="2147" priority="2693"/>
    <cfRule type="duplicateValues" dxfId="2146" priority="2692"/>
    <cfRule type="duplicateValues" dxfId="2145" priority="2691"/>
    <cfRule type="duplicateValues" dxfId="2144" priority="2690"/>
    <cfRule type="duplicateValues" dxfId="2143" priority="2689"/>
    <cfRule type="duplicateValues" dxfId="2142" priority="2688"/>
    <cfRule type="duplicateValues" dxfId="2141" priority="2687"/>
    <cfRule type="duplicateValues" dxfId="2140" priority="2686"/>
    <cfRule type="duplicateValues" dxfId="2139" priority="2685"/>
    <cfRule type="duplicateValues" dxfId="2138" priority="2684"/>
    <cfRule type="duplicateValues" dxfId="2137" priority="2683"/>
    <cfRule type="duplicateValues" dxfId="2136" priority="2682"/>
    <cfRule type="duplicateValues" dxfId="2135" priority="2681"/>
    <cfRule type="duplicateValues" dxfId="2134" priority="2680"/>
    <cfRule type="duplicateValues" dxfId="2133" priority="2679"/>
    <cfRule type="duplicateValues" dxfId="2132" priority="2677"/>
    <cfRule type="duplicateValues" dxfId="2131" priority="2675"/>
    <cfRule type="duplicateValues" dxfId="2130" priority="2674"/>
    <cfRule type="duplicateValues" dxfId="2129" priority="2673"/>
    <cfRule type="duplicateValues" dxfId="2128" priority="2672"/>
    <cfRule type="duplicateValues" dxfId="2127" priority="2671"/>
    <cfRule type="duplicateValues" dxfId="2126" priority="2670"/>
    <cfRule type="duplicateValues" dxfId="2125" priority="2669"/>
    <cfRule type="duplicateValues" dxfId="2124" priority="2697"/>
  </conditionalFormatting>
  <conditionalFormatting sqref="E19">
    <cfRule type="duplicateValues" dxfId="2123" priority="2662"/>
    <cfRule type="duplicateValues" dxfId="2122" priority="2663"/>
    <cfRule type="duplicateValues" dxfId="2121" priority="2664"/>
    <cfRule type="duplicateValues" dxfId="2120" priority="2665"/>
    <cfRule type="duplicateValues" dxfId="2119" priority="2666"/>
    <cfRule type="duplicateValues" dxfId="2118" priority="2667"/>
    <cfRule type="duplicateValues" dxfId="2117" priority="2668"/>
  </conditionalFormatting>
  <conditionalFormatting sqref="E20">
    <cfRule type="duplicateValues" dxfId="2116" priority="2660"/>
    <cfRule type="duplicateValues" dxfId="2115" priority="2659"/>
    <cfRule type="duplicateValues" dxfId="2114" priority="2658"/>
    <cfRule type="duplicateValues" dxfId="2113" priority="2657"/>
    <cfRule type="duplicateValues" dxfId="2112" priority="2656"/>
    <cfRule type="duplicateValues" dxfId="2111" priority="2655"/>
    <cfRule type="duplicateValues" dxfId="2110" priority="2654"/>
    <cfRule type="duplicateValues" dxfId="2109" priority="2653"/>
    <cfRule type="duplicateValues" dxfId="2108" priority="2652"/>
    <cfRule type="duplicateValues" dxfId="2107" priority="2651"/>
    <cfRule type="duplicateValues" dxfId="2106" priority="2650"/>
    <cfRule type="duplicateValues" dxfId="2105" priority="2661"/>
  </conditionalFormatting>
  <conditionalFormatting sqref="E21">
    <cfRule type="duplicateValues" dxfId="2104" priority="2649"/>
    <cfRule type="duplicateValues" dxfId="2103" priority="2648"/>
    <cfRule type="duplicateValues" dxfId="2102" priority="2647"/>
    <cfRule type="duplicateValues" dxfId="2101" priority="2646"/>
    <cfRule type="duplicateValues" dxfId="2100" priority="2644"/>
    <cfRule type="duplicateValues" dxfId="2099" priority="2643"/>
    <cfRule type="duplicateValues" dxfId="2098" priority="2641"/>
    <cfRule type="duplicateValues" dxfId="2097" priority="2642"/>
    <cfRule type="duplicateValues" dxfId="2096" priority="2640"/>
    <cfRule type="duplicateValues" dxfId="2095" priority="2639"/>
    <cfRule type="duplicateValues" dxfId="2094" priority="2638"/>
    <cfRule type="duplicateValues" dxfId="2093" priority="2645"/>
  </conditionalFormatting>
  <conditionalFormatting sqref="E22">
    <cfRule type="duplicateValues" dxfId="2092" priority="2632"/>
    <cfRule type="duplicateValues" dxfId="2091" priority="2633"/>
    <cfRule type="duplicateValues" dxfId="2090" priority="2634"/>
    <cfRule type="duplicateValues" dxfId="2089" priority="2635"/>
    <cfRule type="duplicateValues" dxfId="2088" priority="2636"/>
    <cfRule type="duplicateValues" dxfId="2087" priority="2637"/>
    <cfRule type="duplicateValues" dxfId="2086" priority="2631"/>
  </conditionalFormatting>
  <conditionalFormatting sqref="E23">
    <cfRule type="duplicateValues" dxfId="2085" priority="2617"/>
    <cfRule type="duplicateValues" dxfId="2084" priority="2615"/>
    <cfRule type="duplicateValues" dxfId="2083" priority="2630"/>
    <cfRule type="duplicateValues" dxfId="2082" priority="2628"/>
    <cfRule type="duplicateValues" dxfId="2081" priority="2629"/>
    <cfRule type="duplicateValues" dxfId="2080" priority="2627"/>
    <cfRule type="duplicateValues" dxfId="2079" priority="2626"/>
    <cfRule type="duplicateValues" dxfId="2078" priority="2625"/>
    <cfRule type="duplicateValues" dxfId="2077" priority="2616"/>
    <cfRule type="duplicateValues" dxfId="2076" priority="2624"/>
    <cfRule type="duplicateValues" dxfId="2075" priority="2623"/>
    <cfRule type="duplicateValues" dxfId="2074" priority="2622"/>
    <cfRule type="duplicateValues" dxfId="2073" priority="2621"/>
    <cfRule type="duplicateValues" dxfId="2072" priority="2620"/>
    <cfRule type="duplicateValues" dxfId="2071" priority="2619"/>
    <cfRule type="duplicateValues" dxfId="2070" priority="2618"/>
    <cfRule type="duplicateValues" dxfId="2069" priority="2614"/>
  </conditionalFormatting>
  <conditionalFormatting sqref="E24">
    <cfRule type="duplicateValues" dxfId="2068" priority="2602"/>
    <cfRule type="duplicateValues" dxfId="2067" priority="2603"/>
    <cfRule type="duplicateValues" dxfId="2066" priority="2604"/>
    <cfRule type="duplicateValues" dxfId="2065" priority="2605"/>
    <cfRule type="duplicateValues" dxfId="2064" priority="2606"/>
    <cfRule type="duplicateValues" dxfId="2063" priority="2607"/>
    <cfRule type="duplicateValues" dxfId="2062" priority="2608"/>
    <cfRule type="duplicateValues" dxfId="2061" priority="2609"/>
    <cfRule type="duplicateValues" dxfId="2060" priority="2610"/>
    <cfRule type="duplicateValues" dxfId="2059" priority="2611"/>
    <cfRule type="duplicateValues" dxfId="2058" priority="2612"/>
    <cfRule type="duplicateValues" dxfId="2057" priority="2613"/>
  </conditionalFormatting>
  <conditionalFormatting sqref="E25">
    <cfRule type="duplicateValues" dxfId="2056" priority="2571"/>
    <cfRule type="duplicateValues" dxfId="2055" priority="2570"/>
    <cfRule type="duplicateValues" dxfId="2054" priority="2569"/>
    <cfRule type="duplicateValues" dxfId="2053" priority="2568"/>
    <cfRule type="duplicateValues" dxfId="2052" priority="2567"/>
    <cfRule type="duplicateValues" dxfId="2051" priority="2566"/>
    <cfRule type="duplicateValues" dxfId="2050" priority="2565"/>
    <cfRule type="duplicateValues" dxfId="2049" priority="2564"/>
    <cfRule type="duplicateValues" dxfId="2048" priority="2563"/>
    <cfRule type="duplicateValues" dxfId="2047" priority="2562"/>
    <cfRule type="duplicateValues" dxfId="2046" priority="2561"/>
    <cfRule type="duplicateValues" dxfId="2045" priority="2560"/>
    <cfRule type="duplicateValues" dxfId="2044" priority="2559"/>
    <cfRule type="duplicateValues" dxfId="2043" priority="2558"/>
    <cfRule type="duplicateValues" dxfId="2042" priority="2557"/>
    <cfRule type="duplicateValues" dxfId="2041" priority="2556"/>
    <cfRule type="duplicateValues" dxfId="2040" priority="2555"/>
    <cfRule type="duplicateValues" dxfId="2039" priority="2554"/>
    <cfRule type="duplicateValues" dxfId="2038" priority="2553"/>
    <cfRule type="duplicateValues" dxfId="2037" priority="2552"/>
    <cfRule type="duplicateValues" dxfId="2036" priority="2551"/>
    <cfRule type="duplicateValues" dxfId="2035" priority="2550"/>
    <cfRule type="duplicateValues" dxfId="2034" priority="2598"/>
    <cfRule type="duplicateValues" dxfId="2033" priority="2599"/>
    <cfRule type="duplicateValues" dxfId="2032" priority="2600"/>
    <cfRule type="duplicateValues" dxfId="2031" priority="2601"/>
    <cfRule type="duplicateValues" dxfId="2030" priority="2572"/>
    <cfRule type="duplicateValues" dxfId="2029" priority="2591"/>
    <cfRule type="duplicateValues" dxfId="2028" priority="2573"/>
    <cfRule type="duplicateValues" dxfId="2027" priority="2574"/>
    <cfRule type="duplicateValues" dxfId="2026" priority="2575"/>
    <cfRule type="duplicateValues" dxfId="2025" priority="2576"/>
    <cfRule type="duplicateValues" dxfId="2024" priority="2577"/>
    <cfRule type="duplicateValues" dxfId="2023" priority="2578"/>
    <cfRule type="duplicateValues" dxfId="2022" priority="2579"/>
    <cfRule type="duplicateValues" dxfId="2021" priority="2580"/>
    <cfRule type="duplicateValues" dxfId="2020" priority="2581"/>
    <cfRule type="duplicateValues" dxfId="2019" priority="2582"/>
    <cfRule type="duplicateValues" dxfId="2018" priority="2583"/>
    <cfRule type="duplicateValues" dxfId="2017" priority="2584"/>
    <cfRule type="duplicateValues" dxfId="2016" priority="2585"/>
    <cfRule type="duplicateValues" dxfId="2015" priority="2586"/>
    <cfRule type="duplicateValues" dxfId="2014" priority="2587"/>
    <cfRule type="duplicateValues" dxfId="2013" priority="2588"/>
    <cfRule type="duplicateValues" dxfId="2012" priority="2589"/>
    <cfRule type="duplicateValues" dxfId="2011" priority="2590"/>
    <cfRule type="duplicateValues" dxfId="2010" priority="2592"/>
    <cfRule type="duplicateValues" dxfId="2009" priority="2593"/>
    <cfRule type="duplicateValues" dxfId="2008" priority="2594"/>
    <cfRule type="duplicateValues" dxfId="2007" priority="2595"/>
    <cfRule type="duplicateValues" dxfId="2006" priority="2596"/>
    <cfRule type="duplicateValues" dxfId="2005" priority="2597"/>
  </conditionalFormatting>
  <conditionalFormatting sqref="E26">
    <cfRule type="duplicateValues" dxfId="2004" priority="2495"/>
    <cfRule type="duplicateValues" dxfId="2003" priority="2494"/>
    <cfRule type="duplicateValues" dxfId="2002" priority="2493"/>
    <cfRule type="duplicateValues" dxfId="2001" priority="2491"/>
    <cfRule type="duplicateValues" dxfId="2000" priority="2490"/>
    <cfRule type="duplicateValues" dxfId="1999" priority="2489"/>
    <cfRule type="duplicateValues" dxfId="1998" priority="2488"/>
    <cfRule type="duplicateValues" dxfId="1997" priority="2487"/>
    <cfRule type="duplicateValues" dxfId="1996" priority="2486"/>
    <cfRule type="duplicateValues" dxfId="1995" priority="2492"/>
    <cfRule type="duplicateValues" dxfId="1994" priority="2497"/>
    <cfRule type="duplicateValues" dxfId="1993" priority="2496"/>
  </conditionalFormatting>
  <conditionalFormatting sqref="E27">
    <cfRule type="duplicateValues" dxfId="1992" priority="2549"/>
    <cfRule type="duplicateValues" dxfId="1991" priority="2548"/>
    <cfRule type="duplicateValues" dxfId="1990" priority="2547"/>
    <cfRule type="duplicateValues" dxfId="1989" priority="2546"/>
    <cfRule type="duplicateValues" dxfId="1988" priority="2545"/>
    <cfRule type="duplicateValues" dxfId="1987" priority="2544"/>
    <cfRule type="duplicateValues" dxfId="1986" priority="2543"/>
    <cfRule type="duplicateValues" dxfId="1985" priority="2542"/>
    <cfRule type="duplicateValues" dxfId="1984" priority="2541"/>
    <cfRule type="duplicateValues" dxfId="1983" priority="2540"/>
    <cfRule type="duplicateValues" dxfId="1982" priority="2539"/>
    <cfRule type="duplicateValues" dxfId="1981" priority="2538"/>
    <cfRule type="duplicateValues" dxfId="1980" priority="2537"/>
    <cfRule type="duplicateValues" dxfId="1979" priority="2536"/>
    <cfRule type="duplicateValues" dxfId="1978" priority="2535"/>
    <cfRule type="duplicateValues" dxfId="1977" priority="2534"/>
    <cfRule type="duplicateValues" dxfId="1976" priority="2533"/>
    <cfRule type="duplicateValues" dxfId="1975" priority="2532"/>
    <cfRule type="duplicateValues" dxfId="1974" priority="2531"/>
    <cfRule type="duplicateValues" dxfId="1973" priority="2530"/>
    <cfRule type="duplicateValues" dxfId="1972" priority="2529"/>
    <cfRule type="duplicateValues" dxfId="1971" priority="2528"/>
    <cfRule type="duplicateValues" dxfId="1970" priority="2527"/>
    <cfRule type="duplicateValues" dxfId="1969" priority="2526"/>
    <cfRule type="duplicateValues" dxfId="1968" priority="2525"/>
    <cfRule type="duplicateValues" dxfId="1967" priority="2524"/>
    <cfRule type="duplicateValues" dxfId="1966" priority="2523"/>
    <cfRule type="duplicateValues" dxfId="1965" priority="2522"/>
    <cfRule type="duplicateValues" dxfId="1964" priority="2521"/>
    <cfRule type="duplicateValues" dxfId="1963" priority="2520"/>
    <cfRule type="duplicateValues" dxfId="1962" priority="2519"/>
    <cfRule type="duplicateValues" dxfId="1961" priority="2518"/>
    <cfRule type="duplicateValues" dxfId="1960" priority="2517"/>
    <cfRule type="duplicateValues" dxfId="1959" priority="2516"/>
    <cfRule type="duplicateValues" dxfId="1958" priority="2515"/>
    <cfRule type="duplicateValues" dxfId="1957" priority="2513"/>
    <cfRule type="duplicateValues" dxfId="1956" priority="2514"/>
    <cfRule type="duplicateValues" dxfId="1955" priority="2512"/>
    <cfRule type="duplicateValues" dxfId="1954" priority="2500"/>
    <cfRule type="duplicateValues" dxfId="1953" priority="2498"/>
    <cfRule type="duplicateValues" dxfId="1952" priority="2499"/>
    <cfRule type="duplicateValues" dxfId="1951" priority="2501"/>
    <cfRule type="duplicateValues" dxfId="1950" priority="2502"/>
    <cfRule type="duplicateValues" dxfId="1949" priority="2503"/>
    <cfRule type="duplicateValues" dxfId="1948" priority="2504"/>
    <cfRule type="duplicateValues" dxfId="1947" priority="2505"/>
    <cfRule type="duplicateValues" dxfId="1946" priority="2506"/>
    <cfRule type="duplicateValues" dxfId="1945" priority="2507"/>
    <cfRule type="duplicateValues" dxfId="1944" priority="2508"/>
    <cfRule type="duplicateValues" dxfId="1943" priority="2509"/>
    <cfRule type="duplicateValues" dxfId="1942" priority="2510"/>
    <cfRule type="duplicateValues" dxfId="1941" priority="2511"/>
  </conditionalFormatting>
  <conditionalFormatting sqref="E28:E29">
    <cfRule type="duplicateValues" dxfId="1940" priority="2484"/>
    <cfRule type="duplicateValues" dxfId="1939" priority="2485"/>
    <cfRule type="duplicateValues" dxfId="1938" priority="2474"/>
    <cfRule type="duplicateValues" dxfId="1937" priority="2475"/>
    <cfRule type="duplicateValues" dxfId="1936" priority="2476"/>
    <cfRule type="duplicateValues" dxfId="1935" priority="2478"/>
    <cfRule type="duplicateValues" dxfId="1934" priority="2479"/>
    <cfRule type="duplicateValues" dxfId="1933" priority="2480"/>
    <cfRule type="duplicateValues" dxfId="1932" priority="2477"/>
    <cfRule type="duplicateValues" dxfId="1931" priority="2481"/>
    <cfRule type="duplicateValues" dxfId="1930" priority="2482"/>
    <cfRule type="duplicateValues" dxfId="1929" priority="2483"/>
  </conditionalFormatting>
  <conditionalFormatting sqref="E29">
    <cfRule type="duplicateValues" dxfId="1928" priority="2471"/>
    <cfRule type="duplicateValues" dxfId="1927" priority="2469"/>
    <cfRule type="duplicateValues" dxfId="1926" priority="2470"/>
    <cfRule type="duplicateValues" dxfId="1925" priority="2472"/>
    <cfRule type="duplicateValues" dxfId="1924" priority="2473"/>
  </conditionalFormatting>
  <conditionalFormatting sqref="E30 E1 E251 E246:E249">
    <cfRule type="duplicateValues" dxfId="1923" priority="18649"/>
  </conditionalFormatting>
  <conditionalFormatting sqref="E30">
    <cfRule type="duplicateValues" dxfId="1922" priority="6964"/>
    <cfRule type="duplicateValues" dxfId="1921" priority="6965"/>
    <cfRule type="duplicateValues" dxfId="1920" priority="6966"/>
    <cfRule type="duplicateValues" dxfId="1919" priority="6968"/>
    <cfRule type="duplicateValues" dxfId="1918" priority="6974"/>
    <cfRule type="duplicateValues" dxfId="1917" priority="6973"/>
    <cfRule type="duplicateValues" dxfId="1916" priority="6972"/>
    <cfRule type="duplicateValues" dxfId="1915" priority="6971"/>
    <cfRule type="duplicateValues" dxfId="1914" priority="6970"/>
    <cfRule type="duplicateValues" dxfId="1913" priority="6969"/>
    <cfRule type="duplicateValues" dxfId="1912" priority="6967"/>
  </conditionalFormatting>
  <conditionalFormatting sqref="E31">
    <cfRule type="duplicateValues" dxfId="1911" priority="2464"/>
    <cfRule type="duplicateValues" dxfId="1910" priority="2465"/>
    <cfRule type="duplicateValues" dxfId="1909" priority="2466"/>
    <cfRule type="duplicateValues" dxfId="1908" priority="2467"/>
    <cfRule type="duplicateValues" dxfId="1907" priority="2468"/>
    <cfRule type="duplicateValues" dxfId="1906" priority="2463"/>
  </conditionalFormatting>
  <conditionalFormatting sqref="E32:E33">
    <cfRule type="duplicateValues" dxfId="1905" priority="2373"/>
    <cfRule type="duplicateValues" dxfId="1904" priority="2371"/>
    <cfRule type="duplicateValues" dxfId="1903" priority="2370"/>
    <cfRule type="duplicateValues" dxfId="1902" priority="2368"/>
    <cfRule type="duplicateValues" dxfId="1901" priority="2369"/>
    <cfRule type="duplicateValues" dxfId="1900" priority="2372"/>
  </conditionalFormatting>
  <conditionalFormatting sqref="E34">
    <cfRule type="duplicateValues" dxfId="1899" priority="1771"/>
    <cfRule type="duplicateValues" dxfId="1898" priority="1766"/>
    <cfRule type="duplicateValues" dxfId="1897" priority="1770"/>
    <cfRule type="duplicateValues" dxfId="1896" priority="1769"/>
    <cfRule type="duplicateValues" dxfId="1895" priority="1767"/>
    <cfRule type="duplicateValues" dxfId="1894" priority="1768"/>
  </conditionalFormatting>
  <conditionalFormatting sqref="E35:E36">
    <cfRule type="duplicateValues" dxfId="1893" priority="2362"/>
    <cfRule type="duplicateValues" dxfId="1892" priority="2363"/>
    <cfRule type="duplicateValues" dxfId="1891" priority="2364"/>
    <cfRule type="duplicateValues" dxfId="1890" priority="2365"/>
    <cfRule type="duplicateValues" dxfId="1889" priority="2366"/>
    <cfRule type="duplicateValues" dxfId="1888" priority="2367"/>
  </conditionalFormatting>
  <conditionalFormatting sqref="E37:E38">
    <cfRule type="duplicateValues" dxfId="1887" priority="2360"/>
    <cfRule type="duplicateValues" dxfId="1886" priority="2358"/>
    <cfRule type="duplicateValues" dxfId="1885" priority="2357"/>
    <cfRule type="duplicateValues" dxfId="1884" priority="2356"/>
    <cfRule type="duplicateValues" dxfId="1883" priority="2361"/>
    <cfRule type="duplicateValues" dxfId="1882" priority="2359"/>
  </conditionalFormatting>
  <conditionalFormatting sqref="E39">
    <cfRule type="duplicateValues" dxfId="1881" priority="2351"/>
    <cfRule type="duplicateValues" dxfId="1880" priority="2350"/>
    <cfRule type="duplicateValues" dxfId="1879" priority="2353"/>
    <cfRule type="duplicateValues" dxfId="1878" priority="2352"/>
    <cfRule type="duplicateValues" dxfId="1877" priority="2355"/>
    <cfRule type="duplicateValues" dxfId="1876" priority="2354"/>
  </conditionalFormatting>
  <conditionalFormatting sqref="E40">
    <cfRule type="duplicateValues" dxfId="1875" priority="2349"/>
    <cfRule type="duplicateValues" dxfId="1874" priority="2348"/>
    <cfRule type="duplicateValues" dxfId="1873" priority="2347"/>
    <cfRule type="duplicateValues" dxfId="1872" priority="2346"/>
    <cfRule type="duplicateValues" dxfId="1871" priority="2345"/>
    <cfRule type="duplicateValues" dxfId="1870" priority="2344"/>
  </conditionalFormatting>
  <conditionalFormatting sqref="E41">
    <cfRule type="duplicateValues" dxfId="1869" priority="2339"/>
    <cfRule type="duplicateValues" dxfId="1868" priority="2340"/>
    <cfRule type="duplicateValues" dxfId="1867" priority="2341"/>
    <cfRule type="duplicateValues" dxfId="1866" priority="2342"/>
    <cfRule type="duplicateValues" dxfId="1865" priority="2343"/>
    <cfRule type="duplicateValues" dxfId="1864" priority="2338"/>
    <cfRule type="duplicateValues" dxfId="1863" priority="2337"/>
  </conditionalFormatting>
  <conditionalFormatting sqref="E42">
    <cfRule type="duplicateValues" dxfId="1862" priority="1763"/>
    <cfRule type="duplicateValues" dxfId="1861" priority="1764"/>
    <cfRule type="duplicateValues" dxfId="1860" priority="1765"/>
    <cfRule type="duplicateValues" dxfId="1859" priority="1762"/>
    <cfRule type="duplicateValues" dxfId="1858" priority="1761"/>
    <cfRule type="duplicateValues" dxfId="1857" priority="1760"/>
  </conditionalFormatting>
  <conditionalFormatting sqref="E43">
    <cfRule type="duplicateValues" dxfId="1856" priority="1895"/>
    <cfRule type="duplicateValues" dxfId="1855" priority="1896"/>
    <cfRule type="duplicateValues" dxfId="1854" priority="1894"/>
    <cfRule type="duplicateValues" dxfId="1853" priority="1898"/>
    <cfRule type="duplicateValues" dxfId="1852" priority="1893"/>
    <cfRule type="duplicateValues" dxfId="1851" priority="1897"/>
  </conditionalFormatting>
  <conditionalFormatting sqref="E44">
    <cfRule type="duplicateValues" dxfId="1850" priority="2321"/>
    <cfRule type="duplicateValues" dxfId="1849" priority="2320"/>
    <cfRule type="duplicateValues" dxfId="1848" priority="2322"/>
    <cfRule type="duplicateValues" dxfId="1847" priority="2323"/>
    <cfRule type="duplicateValues" dxfId="1846" priority="2324"/>
    <cfRule type="duplicateValues" dxfId="1845" priority="2319"/>
  </conditionalFormatting>
  <conditionalFormatting sqref="E45">
    <cfRule type="duplicateValues" dxfId="1844" priority="1881"/>
    <cfRule type="duplicateValues" dxfId="1843" priority="1876"/>
    <cfRule type="duplicateValues" dxfId="1842" priority="1880"/>
    <cfRule type="duplicateValues" dxfId="1841" priority="1879"/>
    <cfRule type="duplicateValues" dxfId="1840" priority="1878"/>
    <cfRule type="duplicateValues" dxfId="1839" priority="1877"/>
  </conditionalFormatting>
  <conditionalFormatting sqref="E46">
    <cfRule type="duplicateValues" dxfId="1838" priority="2296"/>
    <cfRule type="duplicateValues" dxfId="1837" priority="2306"/>
    <cfRule type="duplicateValues" dxfId="1836" priority="2303"/>
    <cfRule type="duplicateValues" dxfId="1835" priority="2304"/>
    <cfRule type="duplicateValues" dxfId="1834" priority="2297"/>
    <cfRule type="duplicateValues" dxfId="1833" priority="2301"/>
    <cfRule type="duplicateValues" dxfId="1832" priority="2302"/>
    <cfRule type="duplicateValues" dxfId="1831" priority="2300"/>
    <cfRule type="duplicateValues" dxfId="1830" priority="2299"/>
    <cfRule type="duplicateValues" dxfId="1829" priority="2298"/>
    <cfRule type="duplicateValues" dxfId="1828" priority="2305"/>
  </conditionalFormatting>
  <conditionalFormatting sqref="E47">
    <cfRule type="duplicateValues" dxfId="1827" priority="1888"/>
    <cfRule type="duplicateValues" dxfId="1826" priority="1890"/>
    <cfRule type="duplicateValues" dxfId="1825" priority="1891"/>
    <cfRule type="duplicateValues" dxfId="1824" priority="1892"/>
    <cfRule type="duplicateValues" dxfId="1823" priority="1887"/>
    <cfRule type="duplicateValues" dxfId="1822" priority="1889"/>
    <cfRule type="duplicateValues" dxfId="1821" priority="1885"/>
    <cfRule type="duplicateValues" dxfId="1820" priority="1884"/>
    <cfRule type="duplicateValues" dxfId="1819" priority="1883"/>
    <cfRule type="duplicateValues" dxfId="1818" priority="1882"/>
    <cfRule type="duplicateValues" dxfId="1817" priority="1886"/>
  </conditionalFormatting>
  <conditionalFormatting sqref="E48">
    <cfRule type="duplicateValues" dxfId="1816" priority="2266"/>
    <cfRule type="duplicateValues" dxfId="1815" priority="2265"/>
    <cfRule type="duplicateValues" dxfId="1814" priority="2264"/>
    <cfRule type="duplicateValues" dxfId="1813" priority="2263"/>
    <cfRule type="duplicateValues" dxfId="1812" priority="2262"/>
    <cfRule type="duplicateValues" dxfId="1811" priority="2261"/>
    <cfRule type="duplicateValues" dxfId="1810" priority="2260"/>
    <cfRule type="duplicateValues" dxfId="1809" priority="2259"/>
    <cfRule type="duplicateValues" dxfId="1808" priority="2258"/>
    <cfRule type="duplicateValues" dxfId="1807" priority="2257"/>
    <cfRule type="duplicateValues" dxfId="1806" priority="2267"/>
  </conditionalFormatting>
  <conditionalFormatting sqref="E49">
    <cfRule type="duplicateValues" dxfId="1805" priority="2291"/>
    <cfRule type="duplicateValues" dxfId="1804" priority="2289"/>
    <cfRule type="duplicateValues" dxfId="1803" priority="2290"/>
    <cfRule type="duplicateValues" dxfId="1802" priority="2295"/>
    <cfRule type="duplicateValues" dxfId="1801" priority="2294"/>
    <cfRule type="duplicateValues" dxfId="1800" priority="2293"/>
    <cfRule type="duplicateValues" dxfId="1799" priority="2292"/>
    <cfRule type="duplicateValues" dxfId="1798" priority="2285"/>
    <cfRule type="duplicateValues" dxfId="1797" priority="2286"/>
    <cfRule type="duplicateValues" dxfId="1796" priority="2287"/>
    <cfRule type="duplicateValues" dxfId="1795" priority="2288"/>
  </conditionalFormatting>
  <conditionalFormatting sqref="E50:E53">
    <cfRule type="duplicateValues" dxfId="1794" priority="2271"/>
    <cfRule type="duplicateValues" dxfId="1793" priority="2268"/>
    <cfRule type="duplicateValues" dxfId="1792" priority="2270"/>
    <cfRule type="duplicateValues" dxfId="1791" priority="2269"/>
    <cfRule type="duplicateValues" dxfId="1790" priority="2272"/>
    <cfRule type="duplicateValues" dxfId="1789" priority="2273"/>
  </conditionalFormatting>
  <conditionalFormatting sqref="E54">
    <cfRule type="duplicateValues" dxfId="1788" priority="2246"/>
    <cfRule type="duplicateValues" dxfId="1787" priority="2247"/>
    <cfRule type="duplicateValues" dxfId="1786" priority="2248"/>
    <cfRule type="duplicateValues" dxfId="1785" priority="2249"/>
    <cfRule type="duplicateValues" dxfId="1784" priority="2250"/>
    <cfRule type="duplicateValues" dxfId="1783" priority="2245"/>
  </conditionalFormatting>
  <conditionalFormatting sqref="E55">
    <cfRule type="duplicateValues" dxfId="1782" priority="2233"/>
    <cfRule type="duplicateValues" dxfId="1781" priority="2238"/>
    <cfRule type="duplicateValues" dxfId="1780" priority="2236"/>
    <cfRule type="duplicateValues" dxfId="1779" priority="2237"/>
    <cfRule type="duplicateValues" dxfId="1778" priority="2235"/>
    <cfRule type="duplicateValues" dxfId="1777" priority="2234"/>
  </conditionalFormatting>
  <conditionalFormatting sqref="E56">
    <cfRule type="duplicateValues" dxfId="1776" priority="2227"/>
    <cfRule type="duplicateValues" dxfId="1775" priority="2228"/>
    <cfRule type="duplicateValues" dxfId="1774" priority="2230"/>
    <cfRule type="duplicateValues" dxfId="1773" priority="2229"/>
    <cfRule type="duplicateValues" dxfId="1772" priority="2231"/>
    <cfRule type="duplicateValues" dxfId="1771" priority="2232"/>
  </conditionalFormatting>
  <conditionalFormatting sqref="E57">
    <cfRule type="duplicateValues" dxfId="1770" priority="1420"/>
    <cfRule type="duplicateValues" dxfId="1769" priority="1423"/>
    <cfRule type="duplicateValues" dxfId="1768" priority="1419"/>
    <cfRule type="duplicateValues" dxfId="1767" priority="1418"/>
    <cfRule type="duplicateValues" dxfId="1766" priority="1416"/>
    <cfRule type="duplicateValues" dxfId="1765" priority="1415"/>
    <cfRule type="duplicateValues" dxfId="1764" priority="1414"/>
    <cfRule type="duplicateValues" dxfId="1763" priority="1413"/>
    <cfRule type="duplicateValues" dxfId="1762" priority="1422"/>
    <cfRule type="duplicateValues" dxfId="1761" priority="1421"/>
    <cfRule type="duplicateValues" dxfId="1760" priority="1417"/>
  </conditionalFormatting>
  <conditionalFormatting sqref="E58">
    <cfRule type="duplicateValues" dxfId="1759" priority="2210"/>
    <cfRule type="duplicateValues" dxfId="1758" priority="2211"/>
    <cfRule type="duplicateValues" dxfId="1757" priority="2212"/>
    <cfRule type="duplicateValues" dxfId="1756" priority="2215"/>
    <cfRule type="duplicateValues" dxfId="1755" priority="2213"/>
    <cfRule type="duplicateValues" dxfId="1754" priority="2214"/>
  </conditionalFormatting>
  <conditionalFormatting sqref="E59">
    <cfRule type="duplicateValues" dxfId="1753" priority="2209"/>
    <cfRule type="duplicateValues" dxfId="1752" priority="2204"/>
    <cfRule type="duplicateValues" dxfId="1751" priority="2205"/>
    <cfRule type="duplicateValues" dxfId="1750" priority="2206"/>
    <cfRule type="duplicateValues" dxfId="1749" priority="2207"/>
    <cfRule type="duplicateValues" dxfId="1748" priority="2208"/>
  </conditionalFormatting>
  <conditionalFormatting sqref="E60">
    <cfRule type="duplicateValues" dxfId="1747" priority="1495"/>
    <cfRule type="duplicateValues" dxfId="1746" priority="1496"/>
    <cfRule type="duplicateValues" dxfId="1745" priority="1497"/>
    <cfRule type="duplicateValues" dxfId="1744" priority="1498"/>
    <cfRule type="duplicateValues" dxfId="1743" priority="1492"/>
    <cfRule type="duplicateValues" dxfId="1742" priority="1493"/>
    <cfRule type="duplicateValues" dxfId="1741" priority="1494"/>
  </conditionalFormatting>
  <conditionalFormatting sqref="E61">
    <cfRule type="duplicateValues" dxfId="1740" priority="1486"/>
    <cfRule type="duplicateValues" dxfId="1739" priority="1485"/>
    <cfRule type="duplicateValues" dxfId="1738" priority="1490"/>
    <cfRule type="duplicateValues" dxfId="1737" priority="1487"/>
    <cfRule type="duplicateValues" dxfId="1736" priority="1488"/>
    <cfRule type="duplicateValues" dxfId="1735" priority="1489"/>
    <cfRule type="duplicateValues" dxfId="1734" priority="1491"/>
  </conditionalFormatting>
  <conditionalFormatting sqref="E62:E63">
    <cfRule type="duplicateValues" dxfId="1733" priority="1478"/>
    <cfRule type="duplicateValues" dxfId="1732" priority="1479"/>
    <cfRule type="duplicateValues" dxfId="1731" priority="1480"/>
    <cfRule type="duplicateValues" dxfId="1730" priority="1481"/>
    <cfRule type="duplicateValues" dxfId="1729" priority="1482"/>
  </conditionalFormatting>
  <conditionalFormatting sqref="E62:E64">
    <cfRule type="duplicateValues" dxfId="1728" priority="1483"/>
    <cfRule type="duplicateValues" dxfId="1727" priority="1484"/>
  </conditionalFormatting>
  <conditionalFormatting sqref="E64">
    <cfRule type="duplicateValues" dxfId="1726" priority="1473"/>
    <cfRule type="duplicateValues" dxfId="1725" priority="1475"/>
    <cfRule type="duplicateValues" dxfId="1724" priority="1476"/>
    <cfRule type="duplicateValues" dxfId="1723" priority="1477"/>
    <cfRule type="duplicateValues" dxfId="1722" priority="1474"/>
  </conditionalFormatting>
  <conditionalFormatting sqref="E65:E66">
    <cfRule type="duplicateValues" dxfId="1721" priority="2186"/>
    <cfRule type="duplicateValues" dxfId="1720" priority="2185"/>
    <cfRule type="duplicateValues" dxfId="1719" priority="2182"/>
    <cfRule type="duplicateValues" dxfId="1718" priority="2181"/>
    <cfRule type="duplicateValues" dxfId="1717" priority="2183"/>
    <cfRule type="duplicateValues" dxfId="1716" priority="2184"/>
  </conditionalFormatting>
  <conditionalFormatting sqref="E67">
    <cfRule type="duplicateValues" dxfId="1715" priority="1799"/>
    <cfRule type="duplicateValues" dxfId="1714" priority="1800"/>
    <cfRule type="duplicateValues" dxfId="1713" priority="1801"/>
    <cfRule type="duplicateValues" dxfId="1712" priority="1798"/>
    <cfRule type="duplicateValues" dxfId="1711" priority="1796"/>
    <cfRule type="duplicateValues" dxfId="1710" priority="1797"/>
  </conditionalFormatting>
  <conditionalFormatting sqref="E68:E69">
    <cfRule type="duplicateValues" dxfId="1709" priority="2177"/>
    <cfRule type="duplicateValues" dxfId="1708" priority="2176"/>
    <cfRule type="duplicateValues" dxfId="1707" priority="2180"/>
    <cfRule type="duplicateValues" dxfId="1706" priority="2179"/>
    <cfRule type="duplicateValues" dxfId="1705" priority="2178"/>
    <cfRule type="duplicateValues" dxfId="1704" priority="2170"/>
    <cfRule type="duplicateValues" dxfId="1703" priority="2171"/>
    <cfRule type="duplicateValues" dxfId="1702" priority="2172"/>
    <cfRule type="duplicateValues" dxfId="1701" priority="2173"/>
    <cfRule type="duplicateValues" dxfId="1700" priority="2174"/>
    <cfRule type="duplicateValues" dxfId="1699" priority="2175"/>
  </conditionalFormatting>
  <conditionalFormatting sqref="E70">
    <cfRule type="duplicateValues" dxfId="1698" priority="2164"/>
    <cfRule type="duplicateValues" dxfId="1697" priority="2168"/>
    <cfRule type="duplicateValues" dxfId="1696" priority="2169"/>
    <cfRule type="duplicateValues" dxfId="1695" priority="2167"/>
    <cfRule type="duplicateValues" dxfId="1694" priority="2166"/>
    <cfRule type="duplicateValues" dxfId="1693" priority="2165"/>
  </conditionalFormatting>
  <conditionalFormatting sqref="E71">
    <cfRule type="duplicateValues" dxfId="1692" priority="2162"/>
    <cfRule type="duplicateValues" dxfId="1691" priority="2163"/>
    <cfRule type="duplicateValues" dxfId="1690" priority="2159"/>
    <cfRule type="duplicateValues" dxfId="1689" priority="2160"/>
    <cfRule type="duplicateValues" dxfId="1688" priority="2161"/>
    <cfRule type="duplicateValues" dxfId="1687" priority="2158"/>
  </conditionalFormatting>
  <conditionalFormatting sqref="E72">
    <cfRule type="duplicateValues" dxfId="1686" priority="2149"/>
    <cfRule type="duplicateValues" dxfId="1685" priority="2148"/>
    <cfRule type="duplicateValues" dxfId="1684" priority="2147"/>
    <cfRule type="duplicateValues" dxfId="1683" priority="2157"/>
    <cfRule type="duplicateValues" dxfId="1682" priority="2156"/>
    <cfRule type="duplicateValues" dxfId="1681" priority="2155"/>
    <cfRule type="duplicateValues" dxfId="1680" priority="2154"/>
    <cfRule type="duplicateValues" dxfId="1679" priority="2153"/>
    <cfRule type="duplicateValues" dxfId="1678" priority="2152"/>
    <cfRule type="duplicateValues" dxfId="1677" priority="2151"/>
    <cfRule type="duplicateValues" dxfId="1676" priority="2150"/>
  </conditionalFormatting>
  <conditionalFormatting sqref="E73:E74">
    <cfRule type="duplicateValues" dxfId="1675" priority="2141"/>
    <cfRule type="duplicateValues" dxfId="1674" priority="2140"/>
    <cfRule type="duplicateValues" dxfId="1673" priority="2136"/>
    <cfRule type="duplicateValues" dxfId="1672" priority="2137"/>
    <cfRule type="duplicateValues" dxfId="1671" priority="2139"/>
    <cfRule type="duplicateValues" dxfId="1670" priority="2138"/>
  </conditionalFormatting>
  <conditionalFormatting sqref="E74">
    <cfRule type="duplicateValues" dxfId="1669" priority="2143"/>
    <cfRule type="duplicateValues" dxfId="1668" priority="2142"/>
    <cfRule type="duplicateValues" dxfId="1667" priority="2145"/>
    <cfRule type="duplicateValues" dxfId="1666" priority="2146"/>
    <cfRule type="duplicateValues" dxfId="1665" priority="2144"/>
  </conditionalFormatting>
  <conditionalFormatting sqref="E75">
    <cfRule type="duplicateValues" dxfId="1664" priority="2131"/>
    <cfRule type="duplicateValues" dxfId="1663" priority="2129"/>
    <cfRule type="duplicateValues" dxfId="1662" priority="2128"/>
    <cfRule type="duplicateValues" dxfId="1661" priority="2127"/>
    <cfRule type="duplicateValues" dxfId="1660" priority="2126"/>
    <cfRule type="duplicateValues" dxfId="1659" priority="2132"/>
    <cfRule type="duplicateValues" dxfId="1658" priority="2125"/>
    <cfRule type="duplicateValues" dxfId="1657" priority="2135"/>
    <cfRule type="duplicateValues" dxfId="1656" priority="2134"/>
    <cfRule type="duplicateValues" dxfId="1655" priority="2133"/>
    <cfRule type="duplicateValues" dxfId="1654" priority="2130"/>
  </conditionalFormatting>
  <conditionalFormatting sqref="E76">
    <cfRule type="duplicateValues" dxfId="1653" priority="2124"/>
    <cfRule type="duplicateValues" dxfId="1652" priority="2123"/>
    <cfRule type="duplicateValues" dxfId="1651" priority="2122"/>
    <cfRule type="duplicateValues" dxfId="1650" priority="2121"/>
    <cfRule type="duplicateValues" dxfId="1649" priority="2120"/>
    <cfRule type="duplicateValues" dxfId="1648" priority="2119"/>
  </conditionalFormatting>
  <conditionalFormatting sqref="E77 E79">
    <cfRule type="duplicateValues" dxfId="1647" priority="2118"/>
    <cfRule type="duplicateValues" dxfId="1646" priority="2117"/>
    <cfRule type="duplicateValues" dxfId="1645" priority="2116"/>
    <cfRule type="duplicateValues" dxfId="1644" priority="2115"/>
    <cfRule type="duplicateValues" dxfId="1643" priority="2114"/>
  </conditionalFormatting>
  <conditionalFormatting sqref="E77:E79">
    <cfRule type="duplicateValues" dxfId="1642" priority="2105"/>
    <cfRule type="duplicateValues" dxfId="1641" priority="2104"/>
    <cfRule type="duplicateValues" dxfId="1640" priority="2103"/>
    <cfRule type="duplicateValues" dxfId="1639" priority="2107"/>
    <cfRule type="duplicateValues" dxfId="1638" priority="2106"/>
    <cfRule type="duplicateValues" dxfId="1637" priority="2108"/>
  </conditionalFormatting>
  <conditionalFormatting sqref="E79">
    <cfRule type="duplicateValues" dxfId="1636" priority="2109"/>
    <cfRule type="duplicateValues" dxfId="1635" priority="2110"/>
    <cfRule type="duplicateValues" dxfId="1634" priority="2111"/>
    <cfRule type="duplicateValues" dxfId="1633" priority="2112"/>
    <cfRule type="duplicateValues" dxfId="1632" priority="2113"/>
  </conditionalFormatting>
  <conditionalFormatting sqref="E80">
    <cfRule type="duplicateValues" dxfId="1631" priority="2101"/>
    <cfRule type="duplicateValues" dxfId="1630" priority="2099"/>
    <cfRule type="duplicateValues" dxfId="1629" priority="2098"/>
    <cfRule type="duplicateValues" dxfId="1628" priority="2097"/>
    <cfRule type="duplicateValues" dxfId="1627" priority="2102"/>
    <cfRule type="duplicateValues" dxfId="1626" priority="2100"/>
  </conditionalFormatting>
  <conditionalFormatting sqref="E81">
    <cfRule type="duplicateValues" dxfId="1625" priority="2060"/>
    <cfRule type="duplicateValues" dxfId="1624" priority="2059"/>
    <cfRule type="duplicateValues" dxfId="1623" priority="2061"/>
    <cfRule type="duplicateValues" dxfId="1622" priority="2062"/>
    <cfRule type="duplicateValues" dxfId="1621" priority="2063"/>
    <cfRule type="duplicateValues" dxfId="1620" priority="2064"/>
  </conditionalFormatting>
  <conditionalFormatting sqref="E82:E85">
    <cfRule type="duplicateValues" dxfId="1619" priority="2087"/>
    <cfRule type="duplicateValues" dxfId="1618" priority="2077"/>
    <cfRule type="duplicateValues" dxfId="1617" priority="2086"/>
    <cfRule type="duplicateValues" dxfId="1616" priority="2085"/>
    <cfRule type="duplicateValues" dxfId="1615" priority="2084"/>
    <cfRule type="duplicateValues" dxfId="1614" priority="2079"/>
    <cfRule type="duplicateValues" dxfId="1613" priority="2080"/>
    <cfRule type="duplicateValues" dxfId="1612" priority="2082"/>
    <cfRule type="duplicateValues" dxfId="1611" priority="2081"/>
    <cfRule type="duplicateValues" dxfId="1610" priority="2083"/>
    <cfRule type="duplicateValues" dxfId="1609" priority="2078"/>
    <cfRule type="duplicateValues" dxfId="1608" priority="2071"/>
    <cfRule type="duplicateValues" dxfId="1607" priority="2072"/>
    <cfRule type="duplicateValues" dxfId="1606" priority="2073"/>
    <cfRule type="duplicateValues" dxfId="1605" priority="2074"/>
    <cfRule type="duplicateValues" dxfId="1604" priority="2075"/>
    <cfRule type="duplicateValues" dxfId="1603" priority="2088"/>
    <cfRule type="duplicateValues" dxfId="1602" priority="2089"/>
    <cfRule type="duplicateValues" dxfId="1601" priority="2090"/>
    <cfRule type="duplicateValues" dxfId="1600" priority="2091"/>
    <cfRule type="duplicateValues" dxfId="1599" priority="2076"/>
  </conditionalFormatting>
  <conditionalFormatting sqref="E85 E82">
    <cfRule type="duplicateValues" dxfId="1598" priority="2092"/>
    <cfRule type="duplicateValues" dxfId="1597" priority="2093"/>
    <cfRule type="duplicateValues" dxfId="1596" priority="2094"/>
    <cfRule type="duplicateValues" dxfId="1595" priority="2095"/>
    <cfRule type="duplicateValues" dxfId="1594" priority="2096"/>
  </conditionalFormatting>
  <conditionalFormatting sqref="E86">
    <cfRule type="duplicateValues" dxfId="1593" priority="2069"/>
    <cfRule type="duplicateValues" dxfId="1592" priority="2068"/>
    <cfRule type="duplicateValues" dxfId="1591" priority="2067"/>
    <cfRule type="duplicateValues" dxfId="1590" priority="2066"/>
    <cfRule type="duplicateValues" dxfId="1589" priority="2065"/>
    <cfRule type="duplicateValues" dxfId="1588" priority="2070"/>
  </conditionalFormatting>
  <conditionalFormatting sqref="E87">
    <cfRule type="duplicateValues" dxfId="1587" priority="2058"/>
    <cfRule type="duplicateValues" dxfId="1586" priority="2057"/>
    <cfRule type="duplicateValues" dxfId="1585" priority="2056"/>
    <cfRule type="duplicateValues" dxfId="1584" priority="2055"/>
    <cfRule type="duplicateValues" dxfId="1583" priority="2054"/>
    <cfRule type="duplicateValues" dxfId="1582" priority="2053"/>
  </conditionalFormatting>
  <conditionalFormatting sqref="E88:E90">
    <cfRule type="duplicateValues" dxfId="1581" priority="2040"/>
    <cfRule type="duplicateValues" dxfId="1580" priority="2041"/>
    <cfRule type="duplicateValues" dxfId="1579" priority="2031"/>
    <cfRule type="duplicateValues" dxfId="1578" priority="2037"/>
    <cfRule type="duplicateValues" dxfId="1577" priority="2038"/>
    <cfRule type="duplicateValues" dxfId="1576" priority="2039"/>
  </conditionalFormatting>
  <conditionalFormatting sqref="E90">
    <cfRule type="duplicateValues" dxfId="1575" priority="2034"/>
    <cfRule type="duplicateValues" dxfId="1574" priority="2032"/>
    <cfRule type="duplicateValues" dxfId="1573" priority="2033"/>
    <cfRule type="duplicateValues" dxfId="1572" priority="2036"/>
    <cfRule type="duplicateValues" dxfId="1571" priority="2035"/>
  </conditionalFormatting>
  <conditionalFormatting sqref="E91">
    <cfRule type="duplicateValues" dxfId="1570" priority="2030"/>
    <cfRule type="duplicateValues" dxfId="1569" priority="2029"/>
    <cfRule type="duplicateValues" dxfId="1568" priority="2028"/>
    <cfRule type="duplicateValues" dxfId="1567" priority="2027"/>
    <cfRule type="duplicateValues" dxfId="1566" priority="2026"/>
    <cfRule type="duplicateValues" dxfId="1565" priority="2025"/>
  </conditionalFormatting>
  <conditionalFormatting sqref="E92">
    <cfRule type="duplicateValues" dxfId="1564" priority="2023"/>
    <cfRule type="duplicateValues" dxfId="1563" priority="2021"/>
    <cfRule type="duplicateValues" dxfId="1562" priority="2018"/>
    <cfRule type="duplicateValues" dxfId="1561" priority="2019"/>
    <cfRule type="duplicateValues" dxfId="1560" priority="2020"/>
    <cfRule type="duplicateValues" dxfId="1559" priority="2022"/>
  </conditionalFormatting>
  <conditionalFormatting sqref="E93">
    <cfRule type="duplicateValues" dxfId="1558" priority="2011"/>
    <cfRule type="duplicateValues" dxfId="1557" priority="2010"/>
    <cfRule type="duplicateValues" dxfId="1556" priority="2009"/>
    <cfRule type="duplicateValues" dxfId="1555" priority="2008"/>
    <cfRule type="duplicateValues" dxfId="1554" priority="2006"/>
    <cfRule type="duplicateValues" dxfId="1553" priority="2005"/>
    <cfRule type="duplicateValues" dxfId="1552" priority="2004"/>
    <cfRule type="duplicateValues" dxfId="1551" priority="2003"/>
    <cfRule type="duplicateValues" dxfId="1550" priority="2002"/>
    <cfRule type="duplicateValues" dxfId="1549" priority="2007"/>
    <cfRule type="duplicateValues" dxfId="1548" priority="2017"/>
    <cfRule type="duplicateValues" dxfId="1547" priority="2016"/>
    <cfRule type="duplicateValues" dxfId="1546" priority="2015"/>
    <cfRule type="duplicateValues" dxfId="1545" priority="2014"/>
    <cfRule type="duplicateValues" dxfId="1544" priority="2013"/>
    <cfRule type="duplicateValues" dxfId="1543" priority="2012"/>
  </conditionalFormatting>
  <conditionalFormatting sqref="E94">
    <cfRule type="duplicateValues" dxfId="1542" priority="1998"/>
    <cfRule type="duplicateValues" dxfId="1541" priority="1997"/>
    <cfRule type="duplicateValues" dxfId="1540" priority="1996"/>
    <cfRule type="duplicateValues" dxfId="1539" priority="2001"/>
    <cfRule type="duplicateValues" dxfId="1538" priority="2000"/>
    <cfRule type="duplicateValues" dxfId="1537" priority="1999"/>
  </conditionalFormatting>
  <conditionalFormatting sqref="E95">
    <cfRule type="duplicateValues" dxfId="1536" priority="1595"/>
    <cfRule type="duplicateValues" dxfId="1535" priority="1599"/>
    <cfRule type="duplicateValues" dxfId="1534" priority="1598"/>
    <cfRule type="duplicateValues" dxfId="1533" priority="1597"/>
    <cfRule type="duplicateValues" dxfId="1532" priority="1596"/>
    <cfRule type="duplicateValues" dxfId="1531" priority="1600"/>
  </conditionalFormatting>
  <conditionalFormatting sqref="E96">
    <cfRule type="duplicateValues" dxfId="1530" priority="1718"/>
    <cfRule type="duplicateValues" dxfId="1529" priority="1714"/>
    <cfRule type="duplicateValues" dxfId="1528" priority="1716"/>
    <cfRule type="duplicateValues" dxfId="1527" priority="1715"/>
    <cfRule type="duplicateValues" dxfId="1526" priority="1719"/>
    <cfRule type="duplicateValues" dxfId="1525" priority="1717"/>
  </conditionalFormatting>
  <conditionalFormatting sqref="E97">
    <cfRule type="duplicateValues" dxfId="1524" priority="1995"/>
    <cfRule type="duplicateValues" dxfId="1523" priority="1994"/>
    <cfRule type="duplicateValues" dxfId="1522" priority="1993"/>
    <cfRule type="duplicateValues" dxfId="1521" priority="1992"/>
    <cfRule type="duplicateValues" dxfId="1520" priority="1991"/>
    <cfRule type="duplicateValues" dxfId="1519" priority="1990"/>
  </conditionalFormatting>
  <conditionalFormatting sqref="E98">
    <cfRule type="duplicateValues" dxfId="1518" priority="1959"/>
    <cfRule type="duplicateValues" dxfId="1517" priority="1954"/>
    <cfRule type="duplicateValues" dxfId="1516" priority="1955"/>
    <cfRule type="duplicateValues" dxfId="1515" priority="1957"/>
    <cfRule type="duplicateValues" dxfId="1514" priority="1958"/>
    <cfRule type="duplicateValues" dxfId="1513" priority="1956"/>
  </conditionalFormatting>
  <conditionalFormatting sqref="E99">
    <cfRule type="duplicateValues" dxfId="1512" priority="1972"/>
    <cfRule type="duplicateValues" dxfId="1511" priority="1983"/>
    <cfRule type="duplicateValues" dxfId="1510" priority="1974"/>
    <cfRule type="duplicateValues" dxfId="1509" priority="1982"/>
    <cfRule type="duplicateValues" dxfId="1508" priority="1975"/>
    <cfRule type="duplicateValues" dxfId="1507" priority="1976"/>
    <cfRule type="duplicateValues" dxfId="1506" priority="1973"/>
    <cfRule type="duplicateValues" dxfId="1505" priority="1977"/>
    <cfRule type="duplicateValues" dxfId="1504" priority="1979"/>
    <cfRule type="duplicateValues" dxfId="1503" priority="1980"/>
    <cfRule type="duplicateValues" dxfId="1502" priority="1981"/>
    <cfRule type="duplicateValues" dxfId="1501" priority="1978"/>
  </conditionalFormatting>
  <conditionalFormatting sqref="E100">
    <cfRule type="duplicateValues" dxfId="1500" priority="1968"/>
    <cfRule type="duplicateValues" dxfId="1499" priority="1969"/>
    <cfRule type="duplicateValues" dxfId="1498" priority="1970"/>
    <cfRule type="duplicateValues" dxfId="1497" priority="1971"/>
    <cfRule type="duplicateValues" dxfId="1496" priority="1966"/>
    <cfRule type="duplicateValues" dxfId="1495" priority="1967"/>
  </conditionalFormatting>
  <conditionalFormatting sqref="E101">
    <cfRule type="duplicateValues" dxfId="1494" priority="1961"/>
    <cfRule type="duplicateValues" dxfId="1493" priority="1960"/>
    <cfRule type="duplicateValues" dxfId="1492" priority="1965"/>
    <cfRule type="duplicateValues" dxfId="1491" priority="1964"/>
    <cfRule type="duplicateValues" dxfId="1490" priority="1963"/>
    <cfRule type="duplicateValues" dxfId="1489" priority="1962"/>
  </conditionalFormatting>
  <conditionalFormatting sqref="E102">
    <cfRule type="duplicateValues" dxfId="1488" priority="1403"/>
    <cfRule type="duplicateValues" dxfId="1487" priority="1402"/>
    <cfRule type="duplicateValues" dxfId="1486" priority="1404"/>
    <cfRule type="duplicateValues" dxfId="1485" priority="1410"/>
    <cfRule type="duplicateValues" dxfId="1484" priority="1406"/>
    <cfRule type="duplicateValues" dxfId="1483" priority="1407"/>
    <cfRule type="duplicateValues" dxfId="1482" priority="1408"/>
    <cfRule type="duplicateValues" dxfId="1481" priority="1411"/>
    <cfRule type="duplicateValues" dxfId="1480" priority="1412"/>
    <cfRule type="duplicateValues" dxfId="1479" priority="1405"/>
    <cfRule type="duplicateValues" dxfId="1478" priority="1409"/>
  </conditionalFormatting>
  <conditionalFormatting sqref="E103">
    <cfRule type="duplicateValues" dxfId="1477" priority="1899"/>
    <cfRule type="duplicateValues" dxfId="1476" priority="1900"/>
    <cfRule type="duplicateValues" dxfId="1475" priority="1904"/>
    <cfRule type="duplicateValues" dxfId="1474" priority="1903"/>
    <cfRule type="duplicateValues" dxfId="1473" priority="1902"/>
    <cfRule type="duplicateValues" dxfId="1472" priority="1901"/>
  </conditionalFormatting>
  <conditionalFormatting sqref="E104:E106">
    <cfRule type="duplicateValues" dxfId="1471" priority="1922"/>
    <cfRule type="duplicateValues" dxfId="1470" priority="1923"/>
    <cfRule type="duplicateValues" dxfId="1469" priority="1925"/>
    <cfRule type="duplicateValues" dxfId="1468" priority="1926"/>
    <cfRule type="duplicateValues" dxfId="1467" priority="1924"/>
    <cfRule type="duplicateValues" dxfId="1466" priority="1921"/>
  </conditionalFormatting>
  <conditionalFormatting sqref="E106 E104">
    <cfRule type="duplicateValues" dxfId="1465" priority="1916"/>
    <cfRule type="duplicateValues" dxfId="1464" priority="1917"/>
    <cfRule type="duplicateValues" dxfId="1463" priority="1918"/>
    <cfRule type="duplicateValues" dxfId="1462" priority="1919"/>
    <cfRule type="duplicateValues" dxfId="1461" priority="1920"/>
  </conditionalFormatting>
  <conditionalFormatting sqref="E107">
    <cfRule type="duplicateValues" dxfId="1460" priority="1930"/>
    <cfRule type="duplicateValues" dxfId="1459" priority="1928"/>
    <cfRule type="duplicateValues" dxfId="1458" priority="1929"/>
    <cfRule type="duplicateValues" dxfId="1457" priority="1931"/>
    <cfRule type="duplicateValues" dxfId="1456" priority="1932"/>
  </conditionalFormatting>
  <conditionalFormatting sqref="E107:E108">
    <cfRule type="duplicateValues" dxfId="1455" priority="1939"/>
    <cfRule type="duplicateValues" dxfId="1454" priority="1940"/>
    <cfRule type="duplicateValues" dxfId="1453" priority="1941"/>
    <cfRule type="duplicateValues" dxfId="1452" priority="1927"/>
    <cfRule type="duplicateValues" dxfId="1451" priority="1942"/>
    <cfRule type="duplicateValues" dxfId="1450" priority="1938"/>
  </conditionalFormatting>
  <conditionalFormatting sqref="E108">
    <cfRule type="duplicateValues" dxfId="1449" priority="1935"/>
    <cfRule type="duplicateValues" dxfId="1448" priority="1934"/>
    <cfRule type="duplicateValues" dxfId="1447" priority="1933"/>
    <cfRule type="duplicateValues" dxfId="1446" priority="1936"/>
    <cfRule type="duplicateValues" dxfId="1445" priority="1937"/>
  </conditionalFormatting>
  <conditionalFormatting sqref="E109">
    <cfRule type="duplicateValues" dxfId="1444" priority="1915"/>
    <cfRule type="duplicateValues" dxfId="1443" priority="1905"/>
    <cfRule type="duplicateValues" dxfId="1442" priority="1914"/>
    <cfRule type="duplicateValues" dxfId="1441" priority="1913"/>
    <cfRule type="duplicateValues" dxfId="1440" priority="1912"/>
    <cfRule type="duplicateValues" dxfId="1439" priority="1911"/>
    <cfRule type="duplicateValues" dxfId="1438" priority="1910"/>
    <cfRule type="duplicateValues" dxfId="1437" priority="1909"/>
    <cfRule type="duplicateValues" dxfId="1436" priority="1908"/>
    <cfRule type="duplicateValues" dxfId="1435" priority="1907"/>
    <cfRule type="duplicateValues" dxfId="1434" priority="1906"/>
  </conditionalFormatting>
  <conditionalFormatting sqref="E110">
    <cfRule type="duplicateValues" dxfId="1433" priority="1863"/>
    <cfRule type="duplicateValues" dxfId="1432" priority="1859"/>
    <cfRule type="duplicateValues" dxfId="1431" priority="1860"/>
    <cfRule type="duplicateValues" dxfId="1430" priority="1861"/>
    <cfRule type="duplicateValues" dxfId="1429" priority="1862"/>
    <cfRule type="duplicateValues" dxfId="1428" priority="1864"/>
  </conditionalFormatting>
  <conditionalFormatting sqref="E111">
    <cfRule type="duplicateValues" dxfId="1427" priority="1853"/>
    <cfRule type="duplicateValues" dxfId="1426" priority="1858"/>
    <cfRule type="duplicateValues" dxfId="1425" priority="1854"/>
    <cfRule type="duplicateValues" dxfId="1424" priority="1857"/>
    <cfRule type="duplicateValues" dxfId="1423" priority="1856"/>
    <cfRule type="duplicateValues" dxfId="1422" priority="1855"/>
  </conditionalFormatting>
  <conditionalFormatting sqref="E112">
    <cfRule type="duplicateValues" dxfId="1421" priority="1846"/>
    <cfRule type="duplicateValues" dxfId="1420" priority="1847"/>
    <cfRule type="duplicateValues" dxfId="1419" priority="1848"/>
    <cfRule type="duplicateValues" dxfId="1418" priority="1849"/>
    <cfRule type="duplicateValues" dxfId="1417" priority="1850"/>
    <cfRule type="duplicateValues" dxfId="1416" priority="1851"/>
    <cfRule type="duplicateValues" dxfId="1415" priority="1852"/>
    <cfRule type="duplicateValues" dxfId="1414" priority="1842"/>
    <cfRule type="duplicateValues" dxfId="1413" priority="1843"/>
    <cfRule type="duplicateValues" dxfId="1412" priority="1844"/>
    <cfRule type="duplicateValues" dxfId="1411" priority="1845"/>
  </conditionalFormatting>
  <conditionalFormatting sqref="E113">
    <cfRule type="duplicateValues" dxfId="1410" priority="1838"/>
    <cfRule type="duplicateValues" dxfId="1409" priority="1839"/>
    <cfRule type="duplicateValues" dxfId="1408" priority="1840"/>
    <cfRule type="duplicateValues" dxfId="1407" priority="1833"/>
    <cfRule type="duplicateValues" dxfId="1406" priority="1832"/>
    <cfRule type="duplicateValues" dxfId="1405" priority="1834"/>
    <cfRule type="duplicateValues" dxfId="1404" priority="1835"/>
    <cfRule type="duplicateValues" dxfId="1403" priority="1836"/>
    <cfRule type="duplicateValues" dxfId="1402" priority="1837"/>
    <cfRule type="duplicateValues" dxfId="1401" priority="1831"/>
    <cfRule type="duplicateValues" dxfId="1400" priority="1841"/>
  </conditionalFormatting>
  <conditionalFormatting sqref="E114">
    <cfRule type="duplicateValues" dxfId="1399" priority="1826"/>
    <cfRule type="duplicateValues" dxfId="1398" priority="1830"/>
    <cfRule type="duplicateValues" dxfId="1397" priority="1827"/>
    <cfRule type="duplicateValues" dxfId="1396" priority="1829"/>
    <cfRule type="duplicateValues" dxfId="1395" priority="1828"/>
    <cfRule type="duplicateValues" dxfId="1394" priority="1825"/>
  </conditionalFormatting>
  <conditionalFormatting sqref="E115">
    <cfRule type="duplicateValues" dxfId="1393" priority="1814"/>
    <cfRule type="duplicateValues" dxfId="1392" priority="1816"/>
    <cfRule type="duplicateValues" dxfId="1391" priority="1817"/>
    <cfRule type="duplicateValues" dxfId="1390" priority="1822"/>
    <cfRule type="duplicateValues" dxfId="1389" priority="1818"/>
    <cfRule type="duplicateValues" dxfId="1388" priority="1819"/>
    <cfRule type="duplicateValues" dxfId="1387" priority="1820"/>
    <cfRule type="duplicateValues" dxfId="1386" priority="1821"/>
    <cfRule type="duplicateValues" dxfId="1385" priority="1815"/>
    <cfRule type="duplicateValues" dxfId="1384" priority="1823"/>
    <cfRule type="duplicateValues" dxfId="1383" priority="1824"/>
  </conditionalFormatting>
  <conditionalFormatting sqref="E116">
    <cfRule type="duplicateValues" dxfId="1382" priority="1808"/>
    <cfRule type="duplicateValues" dxfId="1381" priority="1810"/>
    <cfRule type="duplicateValues" dxfId="1380" priority="1813"/>
    <cfRule type="duplicateValues" dxfId="1379" priority="1812"/>
    <cfRule type="duplicateValues" dxfId="1378" priority="1811"/>
    <cfRule type="duplicateValues" dxfId="1377" priority="1809"/>
  </conditionalFormatting>
  <conditionalFormatting sqref="E117">
    <cfRule type="duplicateValues" dxfId="1376" priority="1790"/>
    <cfRule type="duplicateValues" dxfId="1375" priority="1795"/>
    <cfRule type="duplicateValues" dxfId="1374" priority="1794"/>
    <cfRule type="duplicateValues" dxfId="1373" priority="1793"/>
    <cfRule type="duplicateValues" dxfId="1372" priority="1792"/>
    <cfRule type="duplicateValues" dxfId="1371" priority="1791"/>
  </conditionalFormatting>
  <conditionalFormatting sqref="E118">
    <cfRule type="duplicateValues" dxfId="1370" priority="1787"/>
    <cfRule type="duplicateValues" dxfId="1369" priority="1785"/>
    <cfRule type="duplicateValues" dxfId="1368" priority="1789"/>
    <cfRule type="duplicateValues" dxfId="1367" priority="1788"/>
    <cfRule type="duplicateValues" dxfId="1366" priority="1786"/>
    <cfRule type="duplicateValues" dxfId="1365" priority="1784"/>
  </conditionalFormatting>
  <conditionalFormatting sqref="E119">
    <cfRule type="duplicateValues" dxfId="1364" priority="1757"/>
    <cfRule type="duplicateValues" dxfId="1363" priority="1754"/>
    <cfRule type="duplicateValues" dxfId="1362" priority="1756"/>
    <cfRule type="duplicateValues" dxfId="1361" priority="1758"/>
    <cfRule type="duplicateValues" dxfId="1360" priority="1759"/>
    <cfRule type="duplicateValues" dxfId="1359" priority="1755"/>
  </conditionalFormatting>
  <conditionalFormatting sqref="E120:E122">
    <cfRule type="duplicateValues" dxfId="1358" priority="1774"/>
    <cfRule type="duplicateValues" dxfId="1357" priority="1772"/>
    <cfRule type="duplicateValues" dxfId="1356" priority="1773"/>
    <cfRule type="duplicateValues" dxfId="1355" priority="1775"/>
    <cfRule type="duplicateValues" dxfId="1354" priority="1776"/>
    <cfRule type="duplicateValues" dxfId="1353" priority="1777"/>
  </conditionalFormatting>
  <conditionalFormatting sqref="E123:E124">
    <cfRule type="duplicateValues" dxfId="1352" priority="1744"/>
    <cfRule type="duplicateValues" dxfId="1351" priority="1743"/>
    <cfRule type="duplicateValues" dxfId="1350" priority="1745"/>
    <cfRule type="duplicateValues" dxfId="1349" priority="1753"/>
    <cfRule type="duplicateValues" dxfId="1348" priority="1752"/>
    <cfRule type="duplicateValues" dxfId="1347" priority="1751"/>
    <cfRule type="duplicateValues" dxfId="1346" priority="1750"/>
    <cfRule type="duplicateValues" dxfId="1345" priority="1749"/>
    <cfRule type="duplicateValues" dxfId="1344" priority="1748"/>
    <cfRule type="duplicateValues" dxfId="1343" priority="1747"/>
    <cfRule type="duplicateValues" dxfId="1342" priority="1746"/>
  </conditionalFormatting>
  <conditionalFormatting sqref="E125">
    <cfRule type="duplicateValues" dxfId="1341" priority="1735"/>
    <cfRule type="duplicateValues" dxfId="1340" priority="1736"/>
    <cfRule type="duplicateValues" dxfId="1339" priority="1737"/>
    <cfRule type="duplicateValues" dxfId="1338" priority="1738"/>
    <cfRule type="duplicateValues" dxfId="1337" priority="1739"/>
    <cfRule type="duplicateValues" dxfId="1336" priority="1740"/>
    <cfRule type="duplicateValues" dxfId="1335" priority="1741"/>
    <cfRule type="duplicateValues" dxfId="1334" priority="1742"/>
    <cfRule type="duplicateValues" dxfId="1333" priority="1733"/>
    <cfRule type="duplicateValues" dxfId="1332" priority="1732"/>
    <cfRule type="duplicateValues" dxfId="1331" priority="1734"/>
  </conditionalFormatting>
  <conditionalFormatting sqref="E126">
    <cfRule type="duplicateValues" dxfId="1330" priority="1726"/>
    <cfRule type="duplicateValues" dxfId="1329" priority="1727"/>
    <cfRule type="duplicateValues" dxfId="1328" priority="1728"/>
    <cfRule type="duplicateValues" dxfId="1327" priority="1729"/>
    <cfRule type="duplicateValues" dxfId="1326" priority="1730"/>
    <cfRule type="duplicateValues" dxfId="1325" priority="1731"/>
  </conditionalFormatting>
  <conditionalFormatting sqref="E127">
    <cfRule type="duplicateValues" dxfId="1324" priority="1709"/>
    <cfRule type="duplicateValues" dxfId="1323" priority="1710"/>
    <cfRule type="duplicateValues" dxfId="1322" priority="1711"/>
    <cfRule type="duplicateValues" dxfId="1321" priority="1712"/>
    <cfRule type="duplicateValues" dxfId="1320" priority="1713"/>
    <cfRule type="duplicateValues" dxfId="1319" priority="1708"/>
  </conditionalFormatting>
  <conditionalFormatting sqref="E128">
    <cfRule type="duplicateValues" dxfId="1318" priority="1707"/>
    <cfRule type="duplicateValues" dxfId="1317" priority="1706"/>
    <cfRule type="duplicateValues" dxfId="1316" priority="1705"/>
    <cfRule type="duplicateValues" dxfId="1315" priority="1704"/>
    <cfRule type="duplicateValues" dxfId="1314" priority="1703"/>
    <cfRule type="duplicateValues" dxfId="1313" priority="1702"/>
  </conditionalFormatting>
  <conditionalFormatting sqref="E129">
    <cfRule type="duplicateValues" dxfId="1312" priority="1630"/>
    <cfRule type="duplicateValues" dxfId="1311" priority="1629"/>
    <cfRule type="duplicateValues" dxfId="1310" priority="1628"/>
    <cfRule type="duplicateValues" dxfId="1309" priority="1627"/>
    <cfRule type="duplicateValues" dxfId="1308" priority="1626"/>
    <cfRule type="duplicateValues" dxfId="1307" priority="1625"/>
  </conditionalFormatting>
  <conditionalFormatting sqref="E130:E133">
    <cfRule type="duplicateValues" dxfId="1306" priority="1695"/>
    <cfRule type="duplicateValues" dxfId="1305" priority="1694"/>
    <cfRule type="duplicateValues" dxfId="1304" priority="1693"/>
    <cfRule type="duplicateValues" dxfId="1303" priority="1692"/>
    <cfRule type="duplicateValues" dxfId="1302" priority="1691"/>
    <cfRule type="duplicateValues" dxfId="1301" priority="1690"/>
  </conditionalFormatting>
  <conditionalFormatting sqref="E134">
    <cfRule type="duplicateValues" dxfId="1300" priority="1619"/>
    <cfRule type="duplicateValues" dxfId="1299" priority="1624"/>
    <cfRule type="duplicateValues" dxfId="1298" priority="1623"/>
    <cfRule type="duplicateValues" dxfId="1297" priority="1622"/>
    <cfRule type="duplicateValues" dxfId="1296" priority="1621"/>
    <cfRule type="duplicateValues" dxfId="1295" priority="1620"/>
  </conditionalFormatting>
  <conditionalFormatting sqref="E135">
    <cfRule type="duplicateValues" dxfId="1294" priority="1618"/>
    <cfRule type="duplicateValues" dxfId="1293" priority="1617"/>
    <cfRule type="duplicateValues" dxfId="1292" priority="1616"/>
    <cfRule type="duplicateValues" dxfId="1291" priority="1615"/>
    <cfRule type="duplicateValues" dxfId="1290" priority="1614"/>
    <cfRule type="duplicateValues" dxfId="1289" priority="1613"/>
  </conditionalFormatting>
  <conditionalFormatting sqref="E136">
    <cfRule type="duplicateValues" dxfId="1288" priority="1607"/>
    <cfRule type="duplicateValues" dxfId="1287" priority="1608"/>
    <cfRule type="duplicateValues" dxfId="1286" priority="1612"/>
    <cfRule type="duplicateValues" dxfId="1285" priority="1611"/>
    <cfRule type="duplicateValues" dxfId="1284" priority="1610"/>
    <cfRule type="duplicateValues" dxfId="1283" priority="1609"/>
  </conditionalFormatting>
  <conditionalFormatting sqref="E137">
    <cfRule type="duplicateValues" dxfId="1282" priority="1652"/>
    <cfRule type="duplicateValues" dxfId="1281" priority="1651"/>
    <cfRule type="duplicateValues" dxfId="1280" priority="1650"/>
    <cfRule type="duplicateValues" dxfId="1279" priority="1649"/>
    <cfRule type="duplicateValues" dxfId="1278" priority="1648"/>
    <cfRule type="duplicateValues" dxfId="1277" priority="1653"/>
  </conditionalFormatting>
  <conditionalFormatting sqref="E138">
    <cfRule type="duplicateValues" dxfId="1276" priority="18437"/>
    <cfRule type="duplicateValues" dxfId="1275" priority="18436"/>
    <cfRule type="duplicateValues" dxfId="1274" priority="18438"/>
    <cfRule type="duplicateValues" dxfId="1273" priority="18433"/>
    <cfRule type="duplicateValues" dxfId="1272" priority="18434"/>
    <cfRule type="duplicateValues" dxfId="1271" priority="18435"/>
  </conditionalFormatting>
  <conditionalFormatting sqref="E139">
    <cfRule type="duplicateValues" dxfId="1270" priority="1594"/>
    <cfRule type="duplicateValues" dxfId="1269" priority="1593"/>
    <cfRule type="duplicateValues" dxfId="1268" priority="1592"/>
    <cfRule type="duplicateValues" dxfId="1267" priority="1591"/>
    <cfRule type="duplicateValues" dxfId="1266" priority="1590"/>
    <cfRule type="duplicateValues" dxfId="1265" priority="1589"/>
  </conditionalFormatting>
  <conditionalFormatting sqref="E140">
    <cfRule type="duplicateValues" dxfId="1264" priority="1588"/>
    <cfRule type="duplicateValues" dxfId="1263" priority="1587"/>
    <cfRule type="duplicateValues" dxfId="1262" priority="1586"/>
    <cfRule type="duplicateValues" dxfId="1261" priority="1583"/>
    <cfRule type="duplicateValues" dxfId="1260" priority="1582"/>
    <cfRule type="duplicateValues" dxfId="1259" priority="1581"/>
    <cfRule type="duplicateValues" dxfId="1258" priority="1580"/>
    <cfRule type="duplicateValues" dxfId="1257" priority="1585"/>
    <cfRule type="duplicateValues" dxfId="1256" priority="1578"/>
    <cfRule type="duplicateValues" dxfId="1255" priority="1584"/>
    <cfRule type="duplicateValues" dxfId="1254" priority="1579"/>
  </conditionalFormatting>
  <conditionalFormatting sqref="E141">
    <cfRule type="duplicateValues" dxfId="1253" priority="1575"/>
    <cfRule type="duplicateValues" dxfId="1252" priority="1576"/>
    <cfRule type="duplicateValues" dxfId="1251" priority="1577"/>
    <cfRule type="duplicateValues" dxfId="1250" priority="1572"/>
    <cfRule type="duplicateValues" dxfId="1249" priority="1573"/>
    <cfRule type="duplicateValues" dxfId="1248" priority="1574"/>
  </conditionalFormatting>
  <conditionalFormatting sqref="E142">
    <cfRule type="duplicateValues" dxfId="1247" priority="1571"/>
    <cfRule type="duplicateValues" dxfId="1246" priority="1570"/>
    <cfRule type="duplicateValues" dxfId="1245" priority="1569"/>
    <cfRule type="duplicateValues" dxfId="1244" priority="1567"/>
    <cfRule type="duplicateValues" dxfId="1243" priority="1566"/>
    <cfRule type="duplicateValues" dxfId="1242" priority="1568"/>
  </conditionalFormatting>
  <conditionalFormatting sqref="E143">
    <cfRule type="duplicateValues" dxfId="1241" priority="1562"/>
    <cfRule type="duplicateValues" dxfId="1240" priority="1560"/>
    <cfRule type="duplicateValues" dxfId="1239" priority="1559"/>
    <cfRule type="duplicateValues" dxfId="1238" priority="1558"/>
    <cfRule type="duplicateValues" dxfId="1237" priority="1563"/>
    <cfRule type="duplicateValues" dxfId="1236" priority="1556"/>
    <cfRule type="duplicateValues" dxfId="1235" priority="1555"/>
    <cfRule type="duplicateValues" dxfId="1234" priority="1565"/>
    <cfRule type="duplicateValues" dxfId="1233" priority="1564"/>
    <cfRule type="duplicateValues" dxfId="1232" priority="1561"/>
    <cfRule type="duplicateValues" dxfId="1231" priority="1557"/>
  </conditionalFormatting>
  <conditionalFormatting sqref="E144">
    <cfRule type="duplicateValues" dxfId="1230" priority="1085"/>
    <cfRule type="duplicateValues" dxfId="1229" priority="1086"/>
    <cfRule type="duplicateValues" dxfId="1228" priority="1087"/>
    <cfRule type="duplicateValues" dxfId="1227" priority="1088"/>
    <cfRule type="duplicateValues" dxfId="1226" priority="1089"/>
    <cfRule type="duplicateValues" dxfId="1225" priority="1090"/>
  </conditionalFormatting>
  <conditionalFormatting sqref="E145">
    <cfRule type="duplicateValues" dxfId="1224" priority="1547"/>
    <cfRule type="duplicateValues" dxfId="1223" priority="1548"/>
    <cfRule type="duplicateValues" dxfId="1222" priority="1546"/>
    <cfRule type="duplicateValues" dxfId="1221" priority="1545"/>
    <cfRule type="duplicateValues" dxfId="1220" priority="1544"/>
    <cfRule type="duplicateValues" dxfId="1219" priority="1543"/>
  </conditionalFormatting>
  <conditionalFormatting sqref="E146:E147">
    <cfRule type="duplicateValues" dxfId="1218" priority="1542"/>
    <cfRule type="duplicateValues" dxfId="1217" priority="1537"/>
    <cfRule type="duplicateValues" dxfId="1216" priority="1538"/>
    <cfRule type="duplicateValues" dxfId="1215" priority="1539"/>
    <cfRule type="duplicateValues" dxfId="1214" priority="1540"/>
    <cfRule type="duplicateValues" dxfId="1213" priority="1541"/>
  </conditionalFormatting>
  <conditionalFormatting sqref="E148:E150">
    <cfRule type="duplicateValues" dxfId="1212" priority="1535"/>
    <cfRule type="duplicateValues" dxfId="1211" priority="1534"/>
    <cfRule type="duplicateValues" dxfId="1210" priority="1533"/>
    <cfRule type="duplicateValues" dxfId="1209" priority="1532"/>
    <cfRule type="duplicateValues" dxfId="1208" priority="1531"/>
    <cfRule type="duplicateValues" dxfId="1207" priority="1536"/>
  </conditionalFormatting>
  <conditionalFormatting sqref="E151">
    <cfRule type="duplicateValues" dxfId="1206" priority="1526"/>
    <cfRule type="duplicateValues" dxfId="1205" priority="1530"/>
    <cfRule type="duplicateValues" dxfId="1204" priority="1529"/>
    <cfRule type="duplicateValues" dxfId="1203" priority="1528"/>
    <cfRule type="duplicateValues" dxfId="1202" priority="1527"/>
    <cfRule type="duplicateValues" dxfId="1201" priority="1525"/>
  </conditionalFormatting>
  <conditionalFormatting sqref="E152">
    <cfRule type="duplicateValues" dxfId="1200" priority="1442"/>
    <cfRule type="duplicateValues" dxfId="1199" priority="1443"/>
    <cfRule type="duplicateValues" dxfId="1198" priority="1437"/>
    <cfRule type="duplicateValues" dxfId="1197" priority="1436"/>
    <cfRule type="duplicateValues" dxfId="1196" priority="1435"/>
    <cfRule type="duplicateValues" dxfId="1195" priority="1445"/>
    <cfRule type="duplicateValues" dxfId="1194" priority="1451"/>
    <cfRule type="duplicateValues" dxfId="1193" priority="1446"/>
    <cfRule type="duplicateValues" dxfId="1192" priority="1447"/>
    <cfRule type="duplicateValues" dxfId="1191" priority="1448"/>
    <cfRule type="duplicateValues" dxfId="1190" priority="1449"/>
    <cfRule type="duplicateValues" dxfId="1189" priority="1450"/>
    <cfRule type="duplicateValues" dxfId="1188" priority="1452"/>
    <cfRule type="duplicateValues" dxfId="1187" priority="1454"/>
    <cfRule type="duplicateValues" dxfId="1186" priority="1438"/>
    <cfRule type="duplicateValues" dxfId="1185" priority="1456"/>
    <cfRule type="duplicateValues" dxfId="1184" priority="1458"/>
    <cfRule type="duplicateValues" dxfId="1183" priority="1459"/>
    <cfRule type="duplicateValues" dxfId="1182" priority="1460"/>
    <cfRule type="duplicateValues" dxfId="1181" priority="1455"/>
    <cfRule type="duplicateValues" dxfId="1180" priority="1457"/>
    <cfRule type="duplicateValues" dxfId="1179" priority="1453"/>
    <cfRule type="duplicateValues" dxfId="1178" priority="1444"/>
    <cfRule type="duplicateValues" dxfId="1177" priority="1439"/>
    <cfRule type="duplicateValues" dxfId="1176" priority="1440"/>
    <cfRule type="duplicateValues" dxfId="1175" priority="1441"/>
  </conditionalFormatting>
  <conditionalFormatting sqref="E153">
    <cfRule type="duplicateValues" dxfId="1174" priority="1472"/>
    <cfRule type="duplicateValues" dxfId="1173" priority="1471"/>
    <cfRule type="duplicateValues" dxfId="1172" priority="1468"/>
    <cfRule type="duplicateValues" dxfId="1171" priority="1470"/>
    <cfRule type="duplicateValues" dxfId="1170" priority="1469"/>
    <cfRule type="duplicateValues" dxfId="1169" priority="1467"/>
  </conditionalFormatting>
  <conditionalFormatting sqref="E154:E155">
    <cfRule type="duplicateValues" dxfId="1168" priority="1462"/>
    <cfRule type="duplicateValues" dxfId="1167" priority="1463"/>
    <cfRule type="duplicateValues" dxfId="1166" priority="1464"/>
    <cfRule type="duplicateValues" dxfId="1165" priority="1465"/>
    <cfRule type="duplicateValues" dxfId="1164" priority="1461"/>
    <cfRule type="duplicateValues" dxfId="1163" priority="1466"/>
  </conditionalFormatting>
  <conditionalFormatting sqref="E156">
    <cfRule type="duplicateValues" dxfId="1162" priority="926"/>
    <cfRule type="duplicateValues" dxfId="1161" priority="928"/>
    <cfRule type="duplicateValues" dxfId="1160" priority="929"/>
    <cfRule type="duplicateValues" dxfId="1159" priority="930"/>
    <cfRule type="duplicateValues" dxfId="1158" priority="931"/>
    <cfRule type="duplicateValues" dxfId="1157" priority="932"/>
    <cfRule type="duplicateValues" dxfId="1156" priority="933"/>
    <cfRule type="duplicateValues" dxfId="1155" priority="934"/>
    <cfRule type="duplicateValues" dxfId="1154" priority="935"/>
    <cfRule type="duplicateValues" dxfId="1153" priority="936"/>
    <cfRule type="duplicateValues" dxfId="1152" priority="927"/>
  </conditionalFormatting>
  <conditionalFormatting sqref="E157:E158">
    <cfRule type="duplicateValues" dxfId="1151" priority="1398"/>
    <cfRule type="duplicateValues" dxfId="1150" priority="1397"/>
    <cfRule type="duplicateValues" dxfId="1149" priority="1396"/>
    <cfRule type="duplicateValues" dxfId="1148" priority="1400"/>
    <cfRule type="duplicateValues" dxfId="1147" priority="1401"/>
    <cfRule type="duplicateValues" dxfId="1146" priority="1399"/>
  </conditionalFormatting>
  <conditionalFormatting sqref="E159">
    <cfRule type="duplicateValues" dxfId="1145" priority="1107"/>
    <cfRule type="duplicateValues" dxfId="1144" priority="1105"/>
    <cfRule type="duplicateValues" dxfId="1143" priority="1108"/>
    <cfRule type="duplicateValues" dxfId="1142" priority="1104"/>
    <cfRule type="duplicateValues" dxfId="1141" priority="1103"/>
    <cfRule type="duplicateValues" dxfId="1140" priority="1106"/>
  </conditionalFormatting>
  <conditionalFormatting sqref="E160">
    <cfRule type="duplicateValues" dxfId="1139" priority="1102"/>
    <cfRule type="duplicateValues" dxfId="1138" priority="1101"/>
    <cfRule type="duplicateValues" dxfId="1137" priority="1100"/>
    <cfRule type="duplicateValues" dxfId="1136" priority="1099"/>
    <cfRule type="duplicateValues" dxfId="1135" priority="1098"/>
    <cfRule type="duplicateValues" dxfId="1134" priority="1097"/>
  </conditionalFormatting>
  <conditionalFormatting sqref="E161">
    <cfRule type="duplicateValues" dxfId="1133" priority="1208"/>
    <cfRule type="duplicateValues" dxfId="1132" priority="1207"/>
    <cfRule type="duplicateValues" dxfId="1131" priority="1206"/>
    <cfRule type="duplicateValues" dxfId="1130" priority="1205"/>
    <cfRule type="duplicateValues" dxfId="1129" priority="1204"/>
    <cfRule type="duplicateValues" dxfId="1128" priority="1203"/>
  </conditionalFormatting>
  <conditionalFormatting sqref="E162">
    <cfRule type="duplicateValues" dxfId="1127" priority="1201"/>
    <cfRule type="duplicateValues" dxfId="1126" priority="1200"/>
    <cfRule type="duplicateValues" dxfId="1125" priority="1199"/>
    <cfRule type="duplicateValues" dxfId="1124" priority="1198"/>
    <cfRule type="duplicateValues" dxfId="1123" priority="1197"/>
    <cfRule type="duplicateValues" dxfId="1122" priority="1202"/>
  </conditionalFormatting>
  <conditionalFormatting sqref="E163">
    <cfRule type="duplicateValues" dxfId="1121" priority="1181"/>
    <cfRule type="duplicateValues" dxfId="1120" priority="1180"/>
    <cfRule type="duplicateValues" dxfId="1119" priority="1179"/>
    <cfRule type="duplicateValues" dxfId="1118" priority="1178"/>
    <cfRule type="duplicateValues" dxfId="1117" priority="1177"/>
    <cfRule type="duplicateValues" dxfId="1116" priority="1176"/>
    <cfRule type="duplicateValues" dxfId="1115" priority="1175"/>
    <cfRule type="duplicateValues" dxfId="1114" priority="1174"/>
    <cfRule type="duplicateValues" dxfId="1113" priority="1173"/>
    <cfRule type="duplicateValues" dxfId="1112" priority="1172"/>
    <cfRule type="duplicateValues" dxfId="1111" priority="1171"/>
    <cfRule type="duplicateValues" dxfId="1110" priority="1196"/>
    <cfRule type="duplicateValues" dxfId="1109" priority="1195"/>
    <cfRule type="duplicateValues" dxfId="1108" priority="1194"/>
    <cfRule type="duplicateValues" dxfId="1107" priority="1193"/>
    <cfRule type="duplicateValues" dxfId="1106" priority="1192"/>
    <cfRule type="duplicateValues" dxfId="1105" priority="1191"/>
    <cfRule type="duplicateValues" dxfId="1104" priority="1190"/>
    <cfRule type="duplicateValues" dxfId="1103" priority="1189"/>
    <cfRule type="duplicateValues" dxfId="1102" priority="1188"/>
    <cfRule type="duplicateValues" dxfId="1101" priority="1187"/>
    <cfRule type="duplicateValues" dxfId="1100" priority="1186"/>
    <cfRule type="duplicateValues" dxfId="1099" priority="1185"/>
    <cfRule type="duplicateValues" dxfId="1098" priority="1184"/>
    <cfRule type="duplicateValues" dxfId="1097" priority="1183"/>
    <cfRule type="duplicateValues" dxfId="1096" priority="1182"/>
  </conditionalFormatting>
  <conditionalFormatting sqref="E164">
    <cfRule type="duplicateValues" dxfId="1095" priority="1146"/>
    <cfRule type="duplicateValues" dxfId="1094" priority="1170"/>
    <cfRule type="duplicateValues" dxfId="1093" priority="1152"/>
    <cfRule type="duplicateValues" dxfId="1092" priority="1159"/>
    <cfRule type="duplicateValues" dxfId="1091" priority="1153"/>
    <cfRule type="duplicateValues" dxfId="1090" priority="1154"/>
    <cfRule type="duplicateValues" dxfId="1089" priority="1155"/>
    <cfRule type="duplicateValues" dxfId="1088" priority="1156"/>
    <cfRule type="duplicateValues" dxfId="1087" priority="1157"/>
    <cfRule type="duplicateValues" dxfId="1086" priority="1169"/>
    <cfRule type="duplicateValues" dxfId="1085" priority="1145"/>
    <cfRule type="duplicateValues" dxfId="1084" priority="1168"/>
    <cfRule type="duplicateValues" dxfId="1083" priority="1167"/>
    <cfRule type="duplicateValues" dxfId="1082" priority="1166"/>
    <cfRule type="duplicateValues" dxfId="1081" priority="1165"/>
    <cfRule type="duplicateValues" dxfId="1080" priority="1164"/>
    <cfRule type="duplicateValues" dxfId="1079" priority="1163"/>
    <cfRule type="duplicateValues" dxfId="1078" priority="1162"/>
    <cfRule type="duplicateValues" dxfId="1077" priority="1161"/>
    <cfRule type="duplicateValues" dxfId="1076" priority="1160"/>
    <cfRule type="duplicateValues" dxfId="1075" priority="1158"/>
    <cfRule type="duplicateValues" dxfId="1074" priority="1151"/>
    <cfRule type="duplicateValues" dxfId="1073" priority="1150"/>
    <cfRule type="duplicateValues" dxfId="1072" priority="1149"/>
    <cfRule type="duplicateValues" dxfId="1071" priority="1148"/>
    <cfRule type="duplicateValues" dxfId="1070" priority="1147"/>
  </conditionalFormatting>
  <conditionalFormatting sqref="E165">
    <cfRule type="duplicateValues" dxfId="1069" priority="1141"/>
    <cfRule type="duplicateValues" dxfId="1068" priority="1140"/>
    <cfRule type="duplicateValues" dxfId="1067" priority="1139"/>
    <cfRule type="duplicateValues" dxfId="1066" priority="1144"/>
    <cfRule type="duplicateValues" dxfId="1065" priority="1143"/>
    <cfRule type="duplicateValues" dxfId="1064" priority="1142"/>
  </conditionalFormatting>
  <conditionalFormatting sqref="E166:E167">
    <cfRule type="duplicateValues" dxfId="1063" priority="1241"/>
    <cfRule type="duplicateValues" dxfId="1062" priority="1239"/>
    <cfRule type="duplicateValues" dxfId="1061" priority="1238"/>
    <cfRule type="duplicateValues" dxfId="1060" priority="1237"/>
    <cfRule type="duplicateValues" dxfId="1059" priority="1236"/>
    <cfRule type="duplicateValues" dxfId="1058" priority="1235"/>
    <cfRule type="duplicateValues" dxfId="1057" priority="1240"/>
    <cfRule type="duplicateValues" dxfId="1056" priority="1245"/>
    <cfRule type="duplicateValues" dxfId="1055" priority="1244"/>
    <cfRule type="duplicateValues" dxfId="1054" priority="1243"/>
    <cfRule type="duplicateValues" dxfId="1053" priority="1242"/>
  </conditionalFormatting>
  <conditionalFormatting sqref="E168">
    <cfRule type="duplicateValues" dxfId="1052" priority="1080"/>
    <cfRule type="duplicateValues" dxfId="1051" priority="1081"/>
    <cfRule type="duplicateValues" dxfId="1050" priority="1082"/>
    <cfRule type="duplicateValues" dxfId="1049" priority="1083"/>
    <cfRule type="duplicateValues" dxfId="1048" priority="1084"/>
    <cfRule type="duplicateValues" dxfId="1047" priority="1079"/>
  </conditionalFormatting>
  <conditionalFormatting sqref="E169">
    <cfRule type="duplicateValues" dxfId="1046" priority="1078"/>
    <cfRule type="duplicateValues" dxfId="1045" priority="1075"/>
    <cfRule type="duplicateValues" dxfId="1044" priority="1074"/>
    <cfRule type="duplicateValues" dxfId="1043" priority="1073"/>
    <cfRule type="duplicateValues" dxfId="1042" priority="1076"/>
    <cfRule type="duplicateValues" dxfId="1041" priority="1077"/>
  </conditionalFormatting>
  <conditionalFormatting sqref="E170">
    <cfRule type="duplicateValues" dxfId="1040" priority="1234"/>
    <cfRule type="duplicateValues" dxfId="1039" priority="1233"/>
    <cfRule type="duplicateValues" dxfId="1038" priority="1232"/>
    <cfRule type="duplicateValues" dxfId="1037" priority="1231"/>
    <cfRule type="duplicateValues" dxfId="1036" priority="1230"/>
    <cfRule type="duplicateValues" dxfId="1035" priority="1229"/>
    <cfRule type="duplicateValues" dxfId="1034" priority="1228"/>
    <cfRule type="duplicateValues" dxfId="1033" priority="1227"/>
    <cfRule type="duplicateValues" dxfId="1032" priority="1225"/>
    <cfRule type="duplicateValues" dxfId="1031" priority="1224"/>
    <cfRule type="duplicateValues" dxfId="1030" priority="1223"/>
    <cfRule type="duplicateValues" dxfId="1029" priority="1222"/>
    <cfRule type="duplicateValues" dxfId="1028" priority="1221"/>
    <cfRule type="duplicateValues" dxfId="1027" priority="1220"/>
    <cfRule type="duplicateValues" dxfId="1026" priority="1219"/>
    <cfRule type="duplicateValues" dxfId="1025" priority="1218"/>
    <cfRule type="duplicateValues" dxfId="1024" priority="1217"/>
    <cfRule type="duplicateValues" dxfId="1023" priority="1216"/>
    <cfRule type="duplicateValues" dxfId="1022" priority="1215"/>
    <cfRule type="duplicateValues" dxfId="1021" priority="1214"/>
    <cfRule type="duplicateValues" dxfId="1020" priority="1213"/>
    <cfRule type="duplicateValues" dxfId="1019" priority="1211"/>
    <cfRule type="duplicateValues" dxfId="1018" priority="1210"/>
    <cfRule type="duplicateValues" dxfId="1017" priority="1209"/>
    <cfRule type="duplicateValues" dxfId="1016" priority="1226"/>
    <cfRule type="duplicateValues" dxfId="1015" priority="1212"/>
  </conditionalFormatting>
  <conditionalFormatting sqref="E171">
    <cfRule type="duplicateValues" dxfId="1014" priority="985"/>
    <cfRule type="duplicateValues" dxfId="1013" priority="986"/>
    <cfRule type="duplicateValues" dxfId="1012" priority="984"/>
    <cfRule type="duplicateValues" dxfId="1011" priority="983"/>
    <cfRule type="duplicateValues" dxfId="1010" priority="982"/>
    <cfRule type="duplicateValues" dxfId="1009" priority="981"/>
  </conditionalFormatting>
  <conditionalFormatting sqref="E172">
    <cfRule type="duplicateValues" dxfId="1008" priority="1117"/>
    <cfRule type="duplicateValues" dxfId="1007" priority="1120"/>
    <cfRule type="duplicateValues" dxfId="1006" priority="1119"/>
    <cfRule type="duplicateValues" dxfId="1005" priority="1118"/>
    <cfRule type="duplicateValues" dxfId="1004" priority="1116"/>
    <cfRule type="duplicateValues" dxfId="1003" priority="1115"/>
  </conditionalFormatting>
  <conditionalFormatting sqref="E173">
    <cfRule type="duplicateValues" dxfId="1002" priority="946"/>
    <cfRule type="duplicateValues" dxfId="1001" priority="945"/>
    <cfRule type="duplicateValues" dxfId="1000" priority="944"/>
    <cfRule type="duplicateValues" dxfId="999" priority="943"/>
    <cfRule type="duplicateValues" dxfId="998" priority="948"/>
    <cfRule type="duplicateValues" dxfId="997" priority="947"/>
  </conditionalFormatting>
  <conditionalFormatting sqref="E174">
    <cfRule type="duplicateValues" dxfId="996" priority="1093"/>
    <cfRule type="duplicateValues" dxfId="995" priority="1092"/>
    <cfRule type="duplicateValues" dxfId="994" priority="1091"/>
    <cfRule type="duplicateValues" dxfId="993" priority="1096"/>
    <cfRule type="duplicateValues" dxfId="992" priority="1095"/>
    <cfRule type="duplicateValues" dxfId="991" priority="1094"/>
  </conditionalFormatting>
  <conditionalFormatting sqref="E175">
    <cfRule type="duplicateValues" dxfId="990" priority="959"/>
    <cfRule type="duplicateValues" dxfId="989" priority="958"/>
    <cfRule type="duplicateValues" dxfId="988" priority="973"/>
    <cfRule type="duplicateValues" dxfId="987" priority="956"/>
    <cfRule type="duplicateValues" dxfId="986" priority="955"/>
    <cfRule type="duplicateValues" dxfId="985" priority="957"/>
    <cfRule type="duplicateValues" dxfId="984" priority="980"/>
    <cfRule type="duplicateValues" dxfId="983" priority="965"/>
    <cfRule type="duplicateValues" dxfId="982" priority="962"/>
    <cfRule type="duplicateValues" dxfId="981" priority="961"/>
    <cfRule type="duplicateValues" dxfId="980" priority="960"/>
    <cfRule type="duplicateValues" dxfId="979" priority="979"/>
    <cfRule type="duplicateValues" dxfId="978" priority="978"/>
    <cfRule type="duplicateValues" dxfId="977" priority="977"/>
    <cfRule type="duplicateValues" dxfId="976" priority="976"/>
    <cfRule type="duplicateValues" dxfId="975" priority="975"/>
    <cfRule type="duplicateValues" dxfId="974" priority="974"/>
    <cfRule type="duplicateValues" dxfId="973" priority="964"/>
    <cfRule type="duplicateValues" dxfId="972" priority="972"/>
    <cfRule type="duplicateValues" dxfId="971" priority="971"/>
    <cfRule type="duplicateValues" dxfId="970" priority="970"/>
    <cfRule type="duplicateValues" dxfId="969" priority="969"/>
    <cfRule type="duplicateValues" dxfId="968" priority="968"/>
    <cfRule type="duplicateValues" dxfId="967" priority="967"/>
    <cfRule type="duplicateValues" dxfId="966" priority="966"/>
    <cfRule type="duplicateValues" dxfId="965" priority="963"/>
  </conditionalFormatting>
  <conditionalFormatting sqref="E176">
    <cfRule type="duplicateValues" dxfId="964" priority="1045"/>
    <cfRule type="duplicateValues" dxfId="963" priority="1044"/>
    <cfRule type="duplicateValues" dxfId="962" priority="1043"/>
    <cfRule type="duplicateValues" dxfId="961" priority="1042"/>
    <cfRule type="duplicateValues" dxfId="960" priority="1035"/>
    <cfRule type="duplicateValues" dxfId="959" priority="1036"/>
    <cfRule type="duplicateValues" dxfId="958" priority="1037"/>
    <cfRule type="duplicateValues" dxfId="957" priority="1038"/>
    <cfRule type="duplicateValues" dxfId="956" priority="1039"/>
    <cfRule type="duplicateValues" dxfId="955" priority="1041"/>
    <cfRule type="duplicateValues" dxfId="954" priority="1040"/>
  </conditionalFormatting>
  <conditionalFormatting sqref="E177">
    <cfRule type="duplicateValues" dxfId="953" priority="1029"/>
    <cfRule type="duplicateValues" dxfId="952" priority="1031"/>
    <cfRule type="duplicateValues" dxfId="951" priority="1032"/>
    <cfRule type="duplicateValues" dxfId="950" priority="1033"/>
    <cfRule type="duplicateValues" dxfId="949" priority="1034"/>
    <cfRule type="duplicateValues" dxfId="948" priority="1030"/>
  </conditionalFormatting>
  <conditionalFormatting sqref="E178">
    <cfRule type="duplicateValues" dxfId="947" priority="1027"/>
    <cfRule type="duplicateValues" dxfId="946" priority="1026"/>
    <cfRule type="duplicateValues" dxfId="945" priority="1025"/>
    <cfRule type="duplicateValues" dxfId="944" priority="1024"/>
    <cfRule type="duplicateValues" dxfId="943" priority="1023"/>
    <cfRule type="duplicateValues" dxfId="942" priority="1028"/>
  </conditionalFormatting>
  <conditionalFormatting sqref="E179">
    <cfRule type="duplicateValues" dxfId="941" priority="987"/>
    <cfRule type="duplicateValues" dxfId="940" priority="992"/>
    <cfRule type="duplicateValues" dxfId="939" priority="991"/>
    <cfRule type="duplicateValues" dxfId="938" priority="990"/>
    <cfRule type="duplicateValues" dxfId="937" priority="989"/>
    <cfRule type="duplicateValues" dxfId="936" priority="988"/>
  </conditionalFormatting>
  <conditionalFormatting sqref="E180">
    <cfRule type="duplicateValues" dxfId="935" priority="952"/>
    <cfRule type="duplicateValues" dxfId="934" priority="953"/>
    <cfRule type="duplicateValues" dxfId="933" priority="954"/>
    <cfRule type="duplicateValues" dxfId="932" priority="951"/>
    <cfRule type="duplicateValues" dxfId="931" priority="949"/>
    <cfRule type="duplicateValues" dxfId="930" priority="950"/>
  </conditionalFormatting>
  <conditionalFormatting sqref="E181">
    <cfRule type="duplicateValues" dxfId="929" priority="1010"/>
    <cfRule type="duplicateValues" dxfId="928" priority="1008"/>
    <cfRule type="duplicateValues" dxfId="927" priority="1007"/>
    <cfRule type="duplicateValues" dxfId="926" priority="1006"/>
    <cfRule type="duplicateValues" dxfId="925" priority="1005"/>
    <cfRule type="duplicateValues" dxfId="924" priority="1009"/>
  </conditionalFormatting>
  <conditionalFormatting sqref="E182:E185">
    <cfRule type="duplicateValues" dxfId="923" priority="1004"/>
    <cfRule type="duplicateValues" dxfId="922" priority="1003"/>
    <cfRule type="duplicateValues" dxfId="921" priority="1002"/>
    <cfRule type="duplicateValues" dxfId="920" priority="1001"/>
    <cfRule type="duplicateValues" dxfId="919" priority="999"/>
    <cfRule type="duplicateValues" dxfId="918" priority="1000"/>
  </conditionalFormatting>
  <conditionalFormatting sqref="E186:E187">
    <cfRule type="duplicateValues" dxfId="917" priority="995"/>
    <cfRule type="duplicateValues" dxfId="916" priority="993"/>
    <cfRule type="duplicateValues" dxfId="915" priority="994"/>
    <cfRule type="duplicateValues" dxfId="914" priority="996"/>
    <cfRule type="duplicateValues" dxfId="913" priority="997"/>
    <cfRule type="duplicateValues" dxfId="912" priority="998"/>
  </conditionalFormatting>
  <conditionalFormatting sqref="E188:E189">
    <cfRule type="duplicateValues" dxfId="911" priority="940"/>
    <cfRule type="duplicateValues" dxfId="910" priority="939"/>
    <cfRule type="duplicateValues" dxfId="909" priority="938"/>
    <cfRule type="duplicateValues" dxfId="908" priority="937"/>
    <cfRule type="duplicateValues" dxfId="907" priority="941"/>
    <cfRule type="duplicateValues" dxfId="906" priority="942"/>
  </conditionalFormatting>
  <conditionalFormatting sqref="E190:E191">
    <cfRule type="duplicateValues" dxfId="905" priority="925"/>
    <cfRule type="duplicateValues" dxfId="904" priority="924"/>
    <cfRule type="duplicateValues" dxfId="903" priority="923"/>
    <cfRule type="duplicateValues" dxfId="902" priority="922"/>
    <cfRule type="duplicateValues" dxfId="901" priority="921"/>
    <cfRule type="duplicateValues" dxfId="900" priority="920"/>
  </conditionalFormatting>
  <conditionalFormatting sqref="E192">
    <cfRule type="duplicateValues" dxfId="899" priority="919"/>
    <cfRule type="duplicateValues" dxfId="898" priority="918"/>
    <cfRule type="duplicateValues" dxfId="897" priority="916"/>
    <cfRule type="duplicateValues" dxfId="896" priority="915"/>
    <cfRule type="duplicateValues" dxfId="895" priority="914"/>
    <cfRule type="duplicateValues" dxfId="894" priority="917"/>
  </conditionalFormatting>
  <conditionalFormatting sqref="E193">
    <cfRule type="duplicateValues" dxfId="893" priority="910"/>
    <cfRule type="duplicateValues" dxfId="892" priority="911"/>
    <cfRule type="duplicateValues" dxfId="891" priority="912"/>
    <cfRule type="duplicateValues" dxfId="890" priority="913"/>
    <cfRule type="duplicateValues" dxfId="889" priority="908"/>
    <cfRule type="duplicateValues" dxfId="888" priority="903"/>
    <cfRule type="duplicateValues" dxfId="887" priority="904"/>
    <cfRule type="duplicateValues" dxfId="886" priority="905"/>
    <cfRule type="duplicateValues" dxfId="885" priority="906"/>
    <cfRule type="duplicateValues" dxfId="884" priority="907"/>
    <cfRule type="duplicateValues" dxfId="883" priority="909"/>
  </conditionalFormatting>
  <conditionalFormatting sqref="E194">
    <cfRule type="duplicateValues" dxfId="882" priority="899"/>
    <cfRule type="duplicateValues" dxfId="881" priority="897"/>
    <cfRule type="duplicateValues" dxfId="880" priority="898"/>
    <cfRule type="duplicateValues" dxfId="879" priority="901"/>
    <cfRule type="duplicateValues" dxfId="878" priority="902"/>
    <cfRule type="duplicateValues" dxfId="877" priority="900"/>
  </conditionalFormatting>
  <conditionalFormatting sqref="E195">
    <cfRule type="duplicateValues" dxfId="876" priority="890"/>
    <cfRule type="duplicateValues" dxfId="875" priority="889"/>
    <cfRule type="duplicateValues" dxfId="874" priority="888"/>
    <cfRule type="duplicateValues" dxfId="873" priority="891"/>
    <cfRule type="duplicateValues" dxfId="872" priority="894"/>
    <cfRule type="duplicateValues" dxfId="871" priority="896"/>
    <cfRule type="duplicateValues" dxfId="870" priority="895"/>
    <cfRule type="duplicateValues" dxfId="869" priority="887"/>
    <cfRule type="duplicateValues" dxfId="868" priority="886"/>
    <cfRule type="duplicateValues" dxfId="867" priority="893"/>
    <cfRule type="duplicateValues" dxfId="866" priority="892"/>
  </conditionalFormatting>
  <conditionalFormatting sqref="E196">
    <cfRule type="duplicateValues" dxfId="865" priority="885"/>
    <cfRule type="duplicateValues" dxfId="864" priority="884"/>
    <cfRule type="duplicateValues" dxfId="863" priority="883"/>
    <cfRule type="duplicateValues" dxfId="862" priority="881"/>
    <cfRule type="duplicateValues" dxfId="861" priority="880"/>
    <cfRule type="duplicateValues" dxfId="860" priority="882"/>
  </conditionalFormatting>
  <conditionalFormatting sqref="E197">
    <cfRule type="duplicateValues" dxfId="859" priority="878"/>
    <cfRule type="duplicateValues" dxfId="858" priority="879"/>
    <cfRule type="duplicateValues" dxfId="857" priority="876"/>
    <cfRule type="duplicateValues" dxfId="856" priority="874"/>
    <cfRule type="duplicateValues" dxfId="855" priority="875"/>
    <cfRule type="duplicateValues" dxfId="854" priority="877"/>
  </conditionalFormatting>
  <conditionalFormatting sqref="E198">
    <cfRule type="duplicateValues" dxfId="853" priority="759"/>
    <cfRule type="duplicateValues" dxfId="852" priority="750"/>
    <cfRule type="duplicateValues" dxfId="851" priority="749"/>
    <cfRule type="duplicateValues" dxfId="850" priority="754"/>
    <cfRule type="duplicateValues" dxfId="849" priority="755"/>
    <cfRule type="duplicateValues" dxfId="848" priority="752"/>
    <cfRule type="duplicateValues" dxfId="847" priority="753"/>
    <cfRule type="duplicateValues" dxfId="846" priority="756"/>
    <cfRule type="duplicateValues" dxfId="845" priority="757"/>
    <cfRule type="duplicateValues" dxfId="844" priority="751"/>
    <cfRule type="duplicateValues" dxfId="843" priority="758"/>
  </conditionalFormatting>
  <conditionalFormatting sqref="E199">
    <cfRule type="duplicateValues" dxfId="842" priority="863"/>
    <cfRule type="duplicateValues" dxfId="841" priority="871"/>
    <cfRule type="duplicateValues" dxfId="840" priority="868"/>
    <cfRule type="duplicateValues" dxfId="839" priority="872"/>
    <cfRule type="duplicateValues" dxfId="838" priority="873"/>
    <cfRule type="duplicateValues" dxfId="837" priority="869"/>
    <cfRule type="duplicateValues" dxfId="836" priority="867"/>
    <cfRule type="duplicateValues" dxfId="835" priority="866"/>
    <cfRule type="duplicateValues" dxfId="834" priority="865"/>
    <cfRule type="duplicateValues" dxfId="833" priority="864"/>
    <cfRule type="duplicateValues" dxfId="832" priority="870"/>
  </conditionalFormatting>
  <conditionalFormatting sqref="E200">
    <cfRule type="duplicateValues" dxfId="831" priority="858"/>
    <cfRule type="duplicateValues" dxfId="830" priority="857"/>
    <cfRule type="duplicateValues" dxfId="829" priority="856"/>
    <cfRule type="duplicateValues" dxfId="828" priority="855"/>
    <cfRule type="duplicateValues" dxfId="827" priority="854"/>
    <cfRule type="duplicateValues" dxfId="826" priority="853"/>
    <cfRule type="duplicateValues" dxfId="825" priority="852"/>
    <cfRule type="duplicateValues" dxfId="824" priority="862"/>
    <cfRule type="duplicateValues" dxfId="823" priority="861"/>
    <cfRule type="duplicateValues" dxfId="822" priority="860"/>
    <cfRule type="duplicateValues" dxfId="821" priority="859"/>
  </conditionalFormatting>
  <conditionalFormatting sqref="E201:E203">
    <cfRule type="duplicateValues" dxfId="820" priority="849"/>
    <cfRule type="duplicateValues" dxfId="819" priority="846"/>
    <cfRule type="duplicateValues" dxfId="818" priority="847"/>
    <cfRule type="duplicateValues" dxfId="817" priority="848"/>
    <cfRule type="duplicateValues" dxfId="816" priority="850"/>
    <cfRule type="duplicateValues" dxfId="815" priority="851"/>
  </conditionalFormatting>
  <conditionalFormatting sqref="E204">
    <cfRule type="duplicateValues" dxfId="814" priority="844"/>
    <cfRule type="duplicateValues" dxfId="813" priority="845"/>
    <cfRule type="duplicateValues" dxfId="812" priority="842"/>
    <cfRule type="duplicateValues" dxfId="811" priority="843"/>
    <cfRule type="duplicateValues" dxfId="810" priority="841"/>
    <cfRule type="duplicateValues" dxfId="809" priority="840"/>
  </conditionalFormatting>
  <conditionalFormatting sqref="E205">
    <cfRule type="duplicateValues" dxfId="808" priority="834"/>
    <cfRule type="duplicateValues" dxfId="807" priority="829"/>
    <cfRule type="duplicateValues" dxfId="806" priority="830"/>
    <cfRule type="duplicateValues" dxfId="805" priority="831"/>
    <cfRule type="duplicateValues" dxfId="804" priority="832"/>
    <cfRule type="duplicateValues" dxfId="803" priority="833"/>
    <cfRule type="duplicateValues" dxfId="802" priority="835"/>
    <cfRule type="duplicateValues" dxfId="801" priority="837"/>
    <cfRule type="duplicateValues" dxfId="800" priority="838"/>
    <cfRule type="duplicateValues" dxfId="799" priority="839"/>
    <cfRule type="duplicateValues" dxfId="798" priority="836"/>
  </conditionalFormatting>
  <conditionalFormatting sqref="E206">
    <cfRule type="duplicateValues" dxfId="797" priority="826"/>
    <cfRule type="duplicateValues" dxfId="796" priority="827"/>
    <cfRule type="duplicateValues" dxfId="795" priority="828"/>
    <cfRule type="duplicateValues" dxfId="794" priority="822"/>
    <cfRule type="duplicateValues" dxfId="793" priority="823"/>
    <cfRule type="duplicateValues" dxfId="792" priority="824"/>
    <cfRule type="duplicateValues" dxfId="791" priority="818"/>
    <cfRule type="duplicateValues" dxfId="790" priority="825"/>
    <cfRule type="duplicateValues" dxfId="789" priority="819"/>
    <cfRule type="duplicateValues" dxfId="788" priority="820"/>
    <cfRule type="duplicateValues" dxfId="787" priority="821"/>
  </conditionalFormatting>
  <conditionalFormatting sqref="E207:E208">
    <cfRule type="duplicateValues" dxfId="786" priority="768"/>
    <cfRule type="duplicateValues" dxfId="785" priority="769"/>
    <cfRule type="duplicateValues" dxfId="784" priority="770"/>
    <cfRule type="duplicateValues" dxfId="783" priority="771"/>
    <cfRule type="duplicateValues" dxfId="782" priority="766"/>
    <cfRule type="duplicateValues" dxfId="781" priority="767"/>
  </conditionalFormatting>
  <conditionalFormatting sqref="E209">
    <cfRule type="duplicateValues" dxfId="780" priority="815"/>
    <cfRule type="duplicateValues" dxfId="779" priority="816"/>
    <cfRule type="duplicateValues" dxfId="778" priority="814"/>
    <cfRule type="duplicateValues" dxfId="777" priority="812"/>
    <cfRule type="duplicateValues" dxfId="776" priority="813"/>
    <cfRule type="duplicateValues" dxfId="775" priority="817"/>
  </conditionalFormatting>
  <conditionalFormatting sqref="E210">
    <cfRule type="duplicateValues" dxfId="774" priority="806"/>
    <cfRule type="duplicateValues" dxfId="773" priority="809"/>
    <cfRule type="duplicateValues" dxfId="772" priority="808"/>
    <cfRule type="duplicateValues" dxfId="771" priority="810"/>
    <cfRule type="duplicateValues" dxfId="770" priority="811"/>
    <cfRule type="duplicateValues" dxfId="769" priority="807"/>
  </conditionalFormatting>
  <conditionalFormatting sqref="E211">
    <cfRule type="duplicateValues" dxfId="768" priority="791"/>
    <cfRule type="duplicateValues" dxfId="767" priority="790"/>
    <cfRule type="duplicateValues" dxfId="766" priority="799"/>
    <cfRule type="duplicateValues" dxfId="765" priority="798"/>
    <cfRule type="duplicateValues" dxfId="764" priority="797"/>
    <cfRule type="duplicateValues" dxfId="763" priority="796"/>
    <cfRule type="duplicateValues" dxfId="762" priority="795"/>
    <cfRule type="duplicateValues" dxfId="761" priority="794"/>
    <cfRule type="duplicateValues" dxfId="760" priority="793"/>
    <cfRule type="duplicateValues" dxfId="759" priority="792"/>
  </conditionalFormatting>
  <conditionalFormatting sqref="E211:E214">
    <cfRule type="duplicateValues" dxfId="758" priority="800"/>
  </conditionalFormatting>
  <conditionalFormatting sqref="E212:E214">
    <cfRule type="duplicateValues" dxfId="757" priority="805"/>
    <cfRule type="duplicateValues" dxfId="756" priority="801"/>
    <cfRule type="duplicateValues" dxfId="755" priority="802"/>
    <cfRule type="duplicateValues" dxfId="754" priority="803"/>
    <cfRule type="duplicateValues" dxfId="753" priority="804"/>
  </conditionalFormatting>
  <conditionalFormatting sqref="E215">
    <cfRule type="duplicateValues" dxfId="752" priority="789"/>
    <cfRule type="duplicateValues" dxfId="751" priority="788"/>
    <cfRule type="duplicateValues" dxfId="750" priority="787"/>
    <cfRule type="duplicateValues" dxfId="749" priority="786"/>
    <cfRule type="duplicateValues" dxfId="748" priority="785"/>
    <cfRule type="duplicateValues" dxfId="747" priority="784"/>
  </conditionalFormatting>
  <conditionalFormatting sqref="E216">
    <cfRule type="duplicateValues" dxfId="746" priority="783"/>
    <cfRule type="duplicateValues" dxfId="745" priority="782"/>
    <cfRule type="duplicateValues" dxfId="744" priority="781"/>
    <cfRule type="duplicateValues" dxfId="743" priority="780"/>
    <cfRule type="duplicateValues" dxfId="742" priority="779"/>
    <cfRule type="duplicateValues" dxfId="741" priority="778"/>
  </conditionalFormatting>
  <conditionalFormatting sqref="E217:E219">
    <cfRule type="duplicateValues" dxfId="740" priority="777"/>
    <cfRule type="duplicateValues" dxfId="739" priority="776"/>
    <cfRule type="duplicateValues" dxfId="738" priority="774"/>
    <cfRule type="duplicateValues" dxfId="737" priority="773"/>
    <cfRule type="duplicateValues" dxfId="736" priority="772"/>
    <cfRule type="duplicateValues" dxfId="735" priority="775"/>
  </conditionalFormatting>
  <conditionalFormatting sqref="E220:E222">
    <cfRule type="duplicateValues" dxfId="734" priority="763"/>
    <cfRule type="duplicateValues" dxfId="733" priority="765"/>
    <cfRule type="duplicateValues" dxfId="732" priority="764"/>
    <cfRule type="duplicateValues" dxfId="731" priority="760"/>
    <cfRule type="duplicateValues" dxfId="730" priority="761"/>
    <cfRule type="duplicateValues" dxfId="729" priority="762"/>
  </conditionalFormatting>
  <conditionalFormatting sqref="E223">
    <cfRule type="duplicateValues" dxfId="728" priority="745"/>
    <cfRule type="duplicateValues" dxfId="727" priority="743"/>
    <cfRule type="duplicateValues" dxfId="726" priority="744"/>
    <cfRule type="duplicateValues" dxfId="725" priority="746"/>
    <cfRule type="duplicateValues" dxfId="724" priority="747"/>
    <cfRule type="duplicateValues" dxfId="723" priority="748"/>
  </conditionalFormatting>
  <conditionalFormatting sqref="E224">
    <cfRule type="duplicateValues" dxfId="722" priority="705"/>
    <cfRule type="duplicateValues" dxfId="721" priority="707"/>
    <cfRule type="duplicateValues" dxfId="720" priority="704"/>
    <cfRule type="duplicateValues" dxfId="719" priority="703"/>
    <cfRule type="duplicateValues" dxfId="718" priority="702"/>
    <cfRule type="duplicateValues" dxfId="717" priority="706"/>
  </conditionalFormatting>
  <conditionalFormatting sqref="E225">
    <cfRule type="duplicateValues" dxfId="716" priority="738"/>
    <cfRule type="duplicateValues" dxfId="715" priority="740"/>
    <cfRule type="duplicateValues" dxfId="714" priority="737"/>
    <cfRule type="duplicateValues" dxfId="713" priority="739"/>
    <cfRule type="duplicateValues" dxfId="712" priority="741"/>
    <cfRule type="duplicateValues" dxfId="711" priority="742"/>
  </conditionalFormatting>
  <conditionalFormatting sqref="E226">
    <cfRule type="duplicateValues" dxfId="710" priority="733"/>
    <cfRule type="duplicateValues" dxfId="709" priority="732"/>
    <cfRule type="duplicateValues" dxfId="708" priority="731"/>
    <cfRule type="duplicateValues" dxfId="707" priority="736"/>
    <cfRule type="duplicateValues" dxfId="706" priority="735"/>
    <cfRule type="duplicateValues" dxfId="705" priority="734"/>
  </conditionalFormatting>
  <conditionalFormatting sqref="E227">
    <cfRule type="duplicateValues" dxfId="704" priority="730"/>
    <cfRule type="duplicateValues" dxfId="703" priority="729"/>
    <cfRule type="duplicateValues" dxfId="702" priority="728"/>
    <cfRule type="duplicateValues" dxfId="701" priority="727"/>
    <cfRule type="duplicateValues" dxfId="700" priority="726"/>
    <cfRule type="duplicateValues" dxfId="699" priority="725"/>
  </conditionalFormatting>
  <conditionalFormatting sqref="E228">
    <cfRule type="duplicateValues" dxfId="698" priority="724"/>
    <cfRule type="duplicateValues" dxfId="697" priority="723"/>
    <cfRule type="duplicateValues" dxfId="696" priority="722"/>
    <cfRule type="duplicateValues" dxfId="695" priority="721"/>
    <cfRule type="duplicateValues" dxfId="694" priority="719"/>
    <cfRule type="duplicateValues" dxfId="693" priority="720"/>
  </conditionalFormatting>
  <conditionalFormatting sqref="E229:E230">
    <cfRule type="duplicateValues" dxfId="692" priority="712"/>
    <cfRule type="duplicateValues" dxfId="691" priority="708"/>
    <cfRule type="duplicateValues" dxfId="690" priority="709"/>
    <cfRule type="duplicateValues" dxfId="689" priority="713"/>
    <cfRule type="duplicateValues" dxfId="688" priority="711"/>
    <cfRule type="duplicateValues" dxfId="687" priority="710"/>
  </conditionalFormatting>
  <conditionalFormatting sqref="E230">
    <cfRule type="duplicateValues" dxfId="686" priority="715"/>
    <cfRule type="duplicateValues" dxfId="685" priority="714"/>
    <cfRule type="duplicateValues" dxfId="684" priority="718"/>
    <cfRule type="duplicateValues" dxfId="683" priority="717"/>
    <cfRule type="duplicateValues" dxfId="682" priority="716"/>
  </conditionalFormatting>
  <conditionalFormatting sqref="E231">
    <cfRule type="duplicateValues" dxfId="681" priority="701"/>
    <cfRule type="duplicateValues" dxfId="680" priority="700"/>
    <cfRule type="duplicateValues" dxfId="679" priority="699"/>
    <cfRule type="duplicateValues" dxfId="678" priority="698"/>
    <cfRule type="duplicateValues" dxfId="677" priority="697"/>
    <cfRule type="duplicateValues" dxfId="676" priority="696"/>
  </conditionalFormatting>
  <conditionalFormatting sqref="E232">
    <cfRule type="duplicateValues" dxfId="675" priority="688"/>
    <cfRule type="duplicateValues" dxfId="674" priority="687"/>
    <cfRule type="duplicateValues" dxfId="673" priority="686"/>
    <cfRule type="duplicateValues" dxfId="672" priority="685"/>
    <cfRule type="duplicateValues" dxfId="671" priority="694"/>
    <cfRule type="duplicateValues" dxfId="670" priority="689"/>
    <cfRule type="duplicateValues" dxfId="669" priority="690"/>
    <cfRule type="duplicateValues" dxfId="668" priority="691"/>
    <cfRule type="duplicateValues" dxfId="667" priority="692"/>
    <cfRule type="duplicateValues" dxfId="666" priority="695"/>
    <cfRule type="duplicateValues" dxfId="665" priority="693"/>
  </conditionalFormatting>
  <conditionalFormatting sqref="E233">
    <cfRule type="duplicateValues" dxfId="664" priority="676"/>
    <cfRule type="duplicateValues" dxfId="663" priority="684"/>
    <cfRule type="duplicateValues" dxfId="662" priority="678"/>
    <cfRule type="duplicateValues" dxfId="661" priority="683"/>
    <cfRule type="duplicateValues" dxfId="660" priority="682"/>
    <cfRule type="duplicateValues" dxfId="659" priority="680"/>
    <cfRule type="duplicateValues" dxfId="658" priority="677"/>
    <cfRule type="duplicateValues" dxfId="657" priority="679"/>
    <cfRule type="duplicateValues" dxfId="656" priority="681"/>
    <cfRule type="duplicateValues" dxfId="655" priority="675"/>
    <cfRule type="duplicateValues" dxfId="654" priority="674"/>
  </conditionalFormatting>
  <conditionalFormatting sqref="E234">
    <cfRule type="duplicateValues" dxfId="653" priority="666"/>
    <cfRule type="duplicateValues" dxfId="652" priority="665"/>
    <cfRule type="duplicateValues" dxfId="651" priority="664"/>
    <cfRule type="duplicateValues" dxfId="650" priority="669"/>
    <cfRule type="duplicateValues" dxfId="649" priority="663"/>
    <cfRule type="duplicateValues" dxfId="648" priority="673"/>
    <cfRule type="duplicateValues" dxfId="647" priority="667"/>
    <cfRule type="duplicateValues" dxfId="646" priority="672"/>
    <cfRule type="duplicateValues" dxfId="645" priority="671"/>
    <cfRule type="duplicateValues" dxfId="644" priority="670"/>
    <cfRule type="duplicateValues" dxfId="643" priority="668"/>
  </conditionalFormatting>
  <conditionalFormatting sqref="E235">
    <cfRule type="duplicateValues" dxfId="642" priority="661"/>
    <cfRule type="duplicateValues" dxfId="641" priority="660"/>
    <cfRule type="duplicateValues" dxfId="640" priority="662"/>
    <cfRule type="duplicateValues" dxfId="639" priority="659"/>
    <cfRule type="duplicateValues" dxfId="638" priority="658"/>
    <cfRule type="duplicateValues" dxfId="637" priority="657"/>
  </conditionalFormatting>
  <conditionalFormatting sqref="E236:E238">
    <cfRule type="duplicateValues" dxfId="636" priority="650"/>
    <cfRule type="duplicateValues" dxfId="635" priority="642"/>
    <cfRule type="duplicateValues" dxfId="634" priority="643"/>
    <cfRule type="duplicateValues" dxfId="633" priority="644"/>
    <cfRule type="duplicateValues" dxfId="632" priority="645"/>
    <cfRule type="duplicateValues" dxfId="631" priority="646"/>
    <cfRule type="duplicateValues" dxfId="630" priority="641"/>
    <cfRule type="duplicateValues" dxfId="629" priority="648"/>
    <cfRule type="duplicateValues" dxfId="628" priority="647"/>
    <cfRule type="duplicateValues" dxfId="627" priority="649"/>
  </conditionalFormatting>
  <conditionalFormatting sqref="E236:E239">
    <cfRule type="duplicateValues" dxfId="626" priority="656"/>
  </conditionalFormatting>
  <conditionalFormatting sqref="E237:E238">
    <cfRule type="duplicateValues" dxfId="625" priority="651"/>
    <cfRule type="duplicateValues" dxfId="624" priority="652"/>
    <cfRule type="duplicateValues" dxfId="623" priority="654"/>
    <cfRule type="duplicateValues" dxfId="622" priority="655"/>
    <cfRule type="duplicateValues" dxfId="621" priority="653"/>
  </conditionalFormatting>
  <conditionalFormatting sqref="E239">
    <cfRule type="duplicateValues" dxfId="620" priority="640"/>
    <cfRule type="duplicateValues" dxfId="619" priority="639"/>
    <cfRule type="duplicateValues" dxfId="618" priority="638"/>
    <cfRule type="duplicateValues" dxfId="617" priority="637"/>
    <cfRule type="duplicateValues" dxfId="616" priority="635"/>
    <cfRule type="duplicateValues" dxfId="615" priority="633"/>
    <cfRule type="duplicateValues" dxfId="614" priority="632"/>
    <cfRule type="duplicateValues" dxfId="613" priority="631"/>
    <cfRule type="duplicateValues" dxfId="612" priority="634"/>
    <cfRule type="duplicateValues" dxfId="611" priority="636"/>
  </conditionalFormatting>
  <conditionalFormatting sqref="E240:E242">
    <cfRule type="duplicateValues" dxfId="610" priority="18552"/>
    <cfRule type="duplicateValues" dxfId="609" priority="18551"/>
    <cfRule type="duplicateValues" dxfId="608" priority="18550"/>
    <cfRule type="duplicateValues" dxfId="607" priority="18549"/>
    <cfRule type="duplicateValues" dxfId="606" priority="18548"/>
    <cfRule type="duplicateValues" dxfId="605" priority="18547"/>
  </conditionalFormatting>
  <conditionalFormatting sqref="E243">
    <cfRule type="duplicateValues" dxfId="604" priority="623"/>
    <cfRule type="duplicateValues" dxfId="603" priority="622"/>
    <cfRule type="duplicateValues" dxfId="602" priority="621"/>
    <cfRule type="duplicateValues" dxfId="601" priority="624"/>
    <cfRule type="duplicateValues" dxfId="600" priority="619"/>
    <cfRule type="duplicateValues" dxfId="599" priority="620"/>
  </conditionalFormatting>
  <conditionalFormatting sqref="E244:E245">
    <cfRule type="duplicateValues" dxfId="598" priority="615"/>
    <cfRule type="duplicateValues" dxfId="597" priority="616"/>
    <cfRule type="duplicateValues" dxfId="596" priority="617"/>
    <cfRule type="duplicateValues" dxfId="595" priority="618"/>
    <cfRule type="duplicateValues" dxfId="594" priority="614"/>
    <cfRule type="duplicateValues" dxfId="593" priority="613"/>
  </conditionalFormatting>
  <conditionalFormatting sqref="E246:E249 E1:F1">
    <cfRule type="duplicateValues" dxfId="592" priority="18653"/>
  </conditionalFormatting>
  <conditionalFormatting sqref="E246:E249">
    <cfRule type="duplicateValues" dxfId="591" priority="18655"/>
    <cfRule type="duplicateValues" dxfId="590" priority="18656"/>
  </conditionalFormatting>
  <conditionalFormatting sqref="E250">
    <cfRule type="duplicateValues" dxfId="589" priority="1780"/>
    <cfRule type="duplicateValues" dxfId="588" priority="1779"/>
    <cfRule type="duplicateValues" dxfId="587" priority="1778"/>
    <cfRule type="duplicateValues" dxfId="586" priority="1781"/>
    <cfRule type="duplicateValues" dxfId="585" priority="1782"/>
    <cfRule type="duplicateValues" dxfId="584" priority="1783"/>
  </conditionalFormatting>
  <conditionalFormatting sqref="E251">
    <cfRule type="duplicateValues" dxfId="583" priority="6499"/>
    <cfRule type="duplicateValues" dxfId="582" priority="6498"/>
    <cfRule type="duplicateValues" dxfId="581" priority="6497"/>
    <cfRule type="duplicateValues" dxfId="580" priority="6496"/>
    <cfRule type="duplicateValues" dxfId="579" priority="6495"/>
    <cfRule type="duplicateValues" dxfId="578" priority="6494"/>
    <cfRule type="duplicateValues" dxfId="577" priority="6493"/>
    <cfRule type="duplicateValues" dxfId="576" priority="6492"/>
    <cfRule type="duplicateValues" dxfId="575" priority="6491"/>
    <cfRule type="duplicateValues" dxfId="574" priority="6490"/>
    <cfRule type="duplicateValues" dxfId="573" priority="6489"/>
    <cfRule type="duplicateValues" dxfId="572" priority="6486"/>
    <cfRule type="duplicateValues" dxfId="571" priority="6485"/>
    <cfRule type="duplicateValues" dxfId="570" priority="6487"/>
    <cfRule type="duplicateValues" dxfId="569" priority="6500"/>
    <cfRule type="duplicateValues" dxfId="568" priority="6488"/>
  </conditionalFormatting>
  <conditionalFormatting sqref="E252">
    <cfRule type="duplicateValues" dxfId="567" priority="586"/>
    <cfRule type="duplicateValues" dxfId="566" priority="585"/>
    <cfRule type="duplicateValues" dxfId="565" priority="584"/>
    <cfRule type="duplicateValues" dxfId="564" priority="583"/>
    <cfRule type="duplicateValues" dxfId="563" priority="582"/>
    <cfRule type="duplicateValues" dxfId="562" priority="581"/>
    <cfRule type="duplicateValues" dxfId="561" priority="580"/>
    <cfRule type="duplicateValues" dxfId="560" priority="579"/>
    <cfRule type="duplicateValues" dxfId="559" priority="578"/>
    <cfRule type="duplicateValues" dxfId="558" priority="577"/>
    <cfRule type="duplicateValues" dxfId="557" priority="576"/>
    <cfRule type="duplicateValues" dxfId="556" priority="575"/>
    <cfRule type="duplicateValues" dxfId="555" priority="574"/>
    <cfRule type="duplicateValues" dxfId="554" priority="573"/>
    <cfRule type="duplicateValues" dxfId="553" priority="572"/>
    <cfRule type="duplicateValues" dxfId="552" priority="571"/>
    <cfRule type="duplicateValues" dxfId="551" priority="570"/>
    <cfRule type="duplicateValues" dxfId="550" priority="569"/>
    <cfRule type="duplicateValues" dxfId="549" priority="568"/>
    <cfRule type="duplicateValues" dxfId="548" priority="567"/>
    <cfRule type="duplicateValues" dxfId="547" priority="566"/>
    <cfRule type="duplicateValues" dxfId="546" priority="565"/>
    <cfRule type="duplicateValues" dxfId="545" priority="564"/>
    <cfRule type="duplicateValues" dxfId="544" priority="562"/>
    <cfRule type="duplicateValues" dxfId="543" priority="561"/>
    <cfRule type="duplicateValues" dxfId="542" priority="563"/>
  </conditionalFormatting>
  <conditionalFormatting sqref="E255">
    <cfRule type="duplicateValues" dxfId="541" priority="92"/>
    <cfRule type="duplicateValues" dxfId="540" priority="90"/>
    <cfRule type="duplicateValues" dxfId="539" priority="91"/>
    <cfRule type="duplicateValues" dxfId="538" priority="93"/>
    <cfRule type="duplicateValues" dxfId="537" priority="94"/>
    <cfRule type="duplicateValues" dxfId="536" priority="95"/>
  </conditionalFormatting>
  <conditionalFormatting sqref="E256">
    <cfRule type="duplicateValues" dxfId="535" priority="89"/>
    <cfRule type="duplicateValues" dxfId="534" priority="88"/>
    <cfRule type="duplicateValues" dxfId="533" priority="87"/>
    <cfRule type="duplicateValues" dxfId="532" priority="85"/>
    <cfRule type="duplicateValues" dxfId="531" priority="84"/>
    <cfRule type="duplicateValues" dxfId="530" priority="86"/>
  </conditionalFormatting>
  <conditionalFormatting sqref="E257">
    <cfRule type="duplicateValues" dxfId="529" priority="468"/>
    <cfRule type="duplicateValues" dxfId="528" priority="469"/>
    <cfRule type="duplicateValues" dxfId="527" priority="470"/>
    <cfRule type="duplicateValues" dxfId="526" priority="471"/>
    <cfRule type="duplicateValues" dxfId="525" priority="472"/>
    <cfRule type="duplicateValues" dxfId="524" priority="473"/>
  </conditionalFormatting>
  <conditionalFormatting sqref="E258">
    <cfRule type="duplicateValues" dxfId="523" priority="82"/>
    <cfRule type="duplicateValues" dxfId="522" priority="83"/>
    <cfRule type="duplicateValues" dxfId="521" priority="80"/>
    <cfRule type="duplicateValues" dxfId="520" priority="78"/>
    <cfRule type="duplicateValues" dxfId="519" priority="79"/>
    <cfRule type="duplicateValues" dxfId="518" priority="81"/>
  </conditionalFormatting>
  <conditionalFormatting sqref="E259:E261">
    <cfRule type="duplicateValues" dxfId="517" priority="524"/>
    <cfRule type="duplicateValues" dxfId="516" priority="523"/>
    <cfRule type="duplicateValues" dxfId="515" priority="522"/>
    <cfRule type="duplicateValues" dxfId="514" priority="521"/>
    <cfRule type="duplicateValues" dxfId="513" priority="519"/>
    <cfRule type="duplicateValues" dxfId="512" priority="518"/>
    <cfRule type="duplicateValues" dxfId="511" priority="517"/>
    <cfRule type="duplicateValues" dxfId="510" priority="516"/>
    <cfRule type="duplicateValues" dxfId="509" priority="515"/>
    <cfRule type="duplicateValues" dxfId="508" priority="514"/>
    <cfRule type="duplicateValues" dxfId="507" priority="513"/>
    <cfRule type="duplicateValues" dxfId="506" priority="512"/>
    <cfRule type="duplicateValues" dxfId="505" priority="511"/>
    <cfRule type="duplicateValues" dxfId="504" priority="510"/>
    <cfRule type="duplicateValues" dxfId="503" priority="509"/>
    <cfRule type="duplicateValues" dxfId="502" priority="508"/>
    <cfRule type="duplicateValues" dxfId="501" priority="507"/>
    <cfRule type="duplicateValues" dxfId="500" priority="506"/>
    <cfRule type="duplicateValues" dxfId="499" priority="505"/>
    <cfRule type="duplicateValues" dxfId="498" priority="520"/>
    <cfRule type="duplicateValues" dxfId="497" priority="530"/>
    <cfRule type="duplicateValues" dxfId="496" priority="529"/>
    <cfRule type="duplicateValues" dxfId="495" priority="528"/>
    <cfRule type="duplicateValues" dxfId="494" priority="527"/>
    <cfRule type="duplicateValues" dxfId="493" priority="526"/>
    <cfRule type="duplicateValues" dxfId="492" priority="525"/>
  </conditionalFormatting>
  <conditionalFormatting sqref="E261">
    <cfRule type="duplicateValues" dxfId="491" priority="500"/>
    <cfRule type="duplicateValues" dxfId="490" priority="501"/>
    <cfRule type="duplicateValues" dxfId="489" priority="502"/>
    <cfRule type="duplicateValues" dxfId="488" priority="503"/>
    <cfRule type="duplicateValues" dxfId="487" priority="504"/>
  </conditionalFormatting>
  <conditionalFormatting sqref="E262:E265">
    <cfRule type="duplicateValues" dxfId="486" priority="475"/>
    <cfRule type="duplicateValues" dxfId="485" priority="474"/>
    <cfRule type="duplicateValues" dxfId="484" priority="488"/>
    <cfRule type="duplicateValues" dxfId="483" priority="489"/>
    <cfRule type="duplicateValues" dxfId="482" priority="490"/>
    <cfRule type="duplicateValues" dxfId="481" priority="491"/>
    <cfRule type="duplicateValues" dxfId="480" priority="492"/>
    <cfRule type="duplicateValues" dxfId="479" priority="493"/>
    <cfRule type="duplicateValues" dxfId="478" priority="494"/>
    <cfRule type="duplicateValues" dxfId="477" priority="495"/>
    <cfRule type="duplicateValues" dxfId="476" priority="496"/>
    <cfRule type="duplicateValues" dxfId="475" priority="497"/>
    <cfRule type="duplicateValues" dxfId="474" priority="498"/>
    <cfRule type="duplicateValues" dxfId="473" priority="499"/>
    <cfRule type="duplicateValues" dxfId="472" priority="480"/>
    <cfRule type="duplicateValues" dxfId="471" priority="479"/>
    <cfRule type="duplicateValues" dxfId="470" priority="478"/>
    <cfRule type="duplicateValues" dxfId="469" priority="477"/>
    <cfRule type="duplicateValues" dxfId="468" priority="476"/>
    <cfRule type="duplicateValues" dxfId="467" priority="486"/>
    <cfRule type="duplicateValues" dxfId="466" priority="485"/>
    <cfRule type="duplicateValues" dxfId="465" priority="487"/>
    <cfRule type="duplicateValues" dxfId="464" priority="484"/>
    <cfRule type="duplicateValues" dxfId="463" priority="483"/>
    <cfRule type="duplicateValues" dxfId="462" priority="482"/>
    <cfRule type="duplicateValues" dxfId="461" priority="481"/>
  </conditionalFormatting>
  <conditionalFormatting sqref="E266">
    <cfRule type="duplicateValues" dxfId="460" priority="436"/>
    <cfRule type="duplicateValues" dxfId="459" priority="437"/>
    <cfRule type="duplicateValues" dxfId="458" priority="438"/>
    <cfRule type="duplicateValues" dxfId="457" priority="439"/>
    <cfRule type="duplicateValues" dxfId="456" priority="440"/>
    <cfRule type="duplicateValues" dxfId="455" priority="441"/>
  </conditionalFormatting>
  <conditionalFormatting sqref="E267">
    <cfRule type="duplicateValues" dxfId="454" priority="462"/>
    <cfRule type="duplicateValues" dxfId="453" priority="461"/>
    <cfRule type="duplicateValues" dxfId="452" priority="460"/>
    <cfRule type="duplicateValues" dxfId="451" priority="459"/>
    <cfRule type="duplicateValues" dxfId="450" priority="458"/>
    <cfRule type="duplicateValues" dxfId="449" priority="457"/>
    <cfRule type="duplicateValues" dxfId="448" priority="456"/>
    <cfRule type="duplicateValues" dxfId="447" priority="455"/>
    <cfRule type="duplicateValues" dxfId="446" priority="467"/>
    <cfRule type="duplicateValues" dxfId="445" priority="466"/>
    <cfRule type="duplicateValues" dxfId="444" priority="465"/>
    <cfRule type="duplicateValues" dxfId="443" priority="464"/>
    <cfRule type="duplicateValues" dxfId="442" priority="463"/>
    <cfRule type="duplicateValues" dxfId="441" priority="442"/>
    <cfRule type="duplicateValues" dxfId="440" priority="443"/>
    <cfRule type="duplicateValues" dxfId="439" priority="444"/>
    <cfRule type="duplicateValues" dxfId="438" priority="445"/>
    <cfRule type="duplicateValues" dxfId="437" priority="446"/>
    <cfRule type="duplicateValues" dxfId="436" priority="447"/>
    <cfRule type="duplicateValues" dxfId="435" priority="448"/>
    <cfRule type="duplicateValues" dxfId="434" priority="449"/>
    <cfRule type="duplicateValues" dxfId="433" priority="450"/>
    <cfRule type="duplicateValues" dxfId="432" priority="451"/>
    <cfRule type="duplicateValues" dxfId="431" priority="452"/>
    <cfRule type="duplicateValues" dxfId="430" priority="453"/>
    <cfRule type="duplicateValues" dxfId="429" priority="454"/>
  </conditionalFormatting>
  <conditionalFormatting sqref="E268">
    <cfRule type="duplicateValues" dxfId="428" priority="431"/>
    <cfRule type="duplicateValues" dxfId="427" priority="430"/>
    <cfRule type="duplicateValues" dxfId="426" priority="435"/>
    <cfRule type="duplicateValues" dxfId="425" priority="432"/>
    <cfRule type="duplicateValues" dxfId="424" priority="433"/>
    <cfRule type="duplicateValues" dxfId="423" priority="434"/>
  </conditionalFormatting>
  <conditionalFormatting sqref="E269">
    <cfRule type="duplicateValues" dxfId="422" priority="388"/>
    <cfRule type="duplicateValues" dxfId="421" priority="387"/>
    <cfRule type="duplicateValues" dxfId="420" priority="386"/>
    <cfRule type="duplicateValues" dxfId="419" priority="385"/>
    <cfRule type="duplicateValues" dxfId="418" priority="384"/>
    <cfRule type="duplicateValues" dxfId="417" priority="390"/>
    <cfRule type="duplicateValues" dxfId="416" priority="382"/>
    <cfRule type="duplicateValues" dxfId="415" priority="381"/>
    <cfRule type="duplicateValues" dxfId="414" priority="393"/>
    <cfRule type="duplicateValues" dxfId="413" priority="392"/>
    <cfRule type="duplicateValues" dxfId="412" priority="383"/>
    <cfRule type="duplicateValues" dxfId="411" priority="391"/>
    <cfRule type="duplicateValues" dxfId="410" priority="418"/>
    <cfRule type="duplicateValues" dxfId="409" priority="417"/>
    <cfRule type="duplicateValues" dxfId="408" priority="416"/>
    <cfRule type="duplicateValues" dxfId="407" priority="415"/>
    <cfRule type="duplicateValues" dxfId="406" priority="414"/>
    <cfRule type="duplicateValues" dxfId="405" priority="413"/>
    <cfRule type="duplicateValues" dxfId="404" priority="412"/>
    <cfRule type="duplicateValues" dxfId="403" priority="411"/>
    <cfRule type="duplicateValues" dxfId="402" priority="410"/>
    <cfRule type="duplicateValues" dxfId="401" priority="389"/>
    <cfRule type="duplicateValues" dxfId="400" priority="402"/>
    <cfRule type="duplicateValues" dxfId="399" priority="409"/>
    <cfRule type="duplicateValues" dxfId="398" priority="408"/>
    <cfRule type="duplicateValues" dxfId="397" priority="407"/>
    <cfRule type="duplicateValues" dxfId="396" priority="406"/>
    <cfRule type="duplicateValues" dxfId="395" priority="405"/>
    <cfRule type="duplicateValues" dxfId="394" priority="404"/>
    <cfRule type="duplicateValues" dxfId="393" priority="403"/>
    <cfRule type="duplicateValues" dxfId="392" priority="401"/>
    <cfRule type="duplicateValues" dxfId="391" priority="400"/>
    <cfRule type="duplicateValues" dxfId="390" priority="399"/>
    <cfRule type="duplicateValues" dxfId="389" priority="398"/>
    <cfRule type="duplicateValues" dxfId="388" priority="397"/>
    <cfRule type="duplicateValues" dxfId="387" priority="396"/>
    <cfRule type="duplicateValues" dxfId="386" priority="395"/>
    <cfRule type="duplicateValues" dxfId="385" priority="394"/>
  </conditionalFormatting>
  <conditionalFormatting sqref="E270:E272">
    <cfRule type="duplicateValues" dxfId="384" priority="428"/>
    <cfRule type="duplicateValues" dxfId="383" priority="429"/>
    <cfRule type="duplicateValues" dxfId="382" priority="426"/>
    <cfRule type="duplicateValues" dxfId="381" priority="425"/>
    <cfRule type="duplicateValues" dxfId="380" priority="424"/>
    <cfRule type="duplicateValues" dxfId="379" priority="427"/>
  </conditionalFormatting>
  <conditionalFormatting sqref="E272">
    <cfRule type="duplicateValues" dxfId="378" priority="420"/>
    <cfRule type="duplicateValues" dxfId="377" priority="422"/>
    <cfRule type="duplicateValues" dxfId="376" priority="423"/>
    <cfRule type="duplicateValues" dxfId="375" priority="421"/>
    <cfRule type="duplicateValues" dxfId="374" priority="419"/>
  </conditionalFormatting>
  <conditionalFormatting sqref="E273">
    <cfRule type="duplicateValues" dxfId="373" priority="355"/>
    <cfRule type="duplicateValues" dxfId="372" priority="363"/>
    <cfRule type="duplicateValues" dxfId="371" priority="362"/>
    <cfRule type="duplicateValues" dxfId="370" priority="367"/>
    <cfRule type="duplicateValues" dxfId="369" priority="360"/>
    <cfRule type="duplicateValues" dxfId="368" priority="359"/>
    <cfRule type="duplicateValues" dxfId="367" priority="358"/>
    <cfRule type="duplicateValues" dxfId="366" priority="357"/>
    <cfRule type="duplicateValues" dxfId="365" priority="356"/>
    <cfRule type="duplicateValues" dxfId="364" priority="377"/>
    <cfRule type="duplicateValues" dxfId="363" priority="368"/>
    <cfRule type="duplicateValues" dxfId="362" priority="354"/>
    <cfRule type="duplicateValues" dxfId="361" priority="353"/>
    <cfRule type="duplicateValues" dxfId="360" priority="352"/>
    <cfRule type="duplicateValues" dxfId="359" priority="361"/>
    <cfRule type="duplicateValues" dxfId="358" priority="376"/>
    <cfRule type="duplicateValues" dxfId="357" priority="351"/>
    <cfRule type="duplicateValues" dxfId="356" priority="369"/>
    <cfRule type="duplicateValues" dxfId="355" priority="348"/>
    <cfRule type="duplicateValues" dxfId="354" priority="370"/>
    <cfRule type="duplicateValues" dxfId="353" priority="371"/>
    <cfRule type="duplicateValues" dxfId="352" priority="372"/>
    <cfRule type="duplicateValues" dxfId="351" priority="374"/>
    <cfRule type="duplicateValues" dxfId="350" priority="375"/>
    <cfRule type="duplicateValues" dxfId="349" priority="380"/>
    <cfRule type="duplicateValues" dxfId="348" priority="350"/>
    <cfRule type="duplicateValues" dxfId="347" priority="378"/>
    <cfRule type="duplicateValues" dxfId="346" priority="349"/>
    <cfRule type="duplicateValues" dxfId="345" priority="379"/>
    <cfRule type="duplicateValues" dxfId="344" priority="343"/>
    <cfRule type="duplicateValues" dxfId="343" priority="344"/>
    <cfRule type="duplicateValues" dxfId="342" priority="345"/>
    <cfRule type="duplicateValues" dxfId="341" priority="346"/>
    <cfRule type="duplicateValues" dxfId="340" priority="347"/>
    <cfRule type="duplicateValues" dxfId="339" priority="364"/>
    <cfRule type="duplicateValues" dxfId="338" priority="365"/>
    <cfRule type="duplicateValues" dxfId="337" priority="373"/>
    <cfRule type="duplicateValues" dxfId="336" priority="366"/>
  </conditionalFormatting>
  <conditionalFormatting sqref="E274:E278">
    <cfRule type="duplicateValues" dxfId="335" priority="334"/>
    <cfRule type="duplicateValues" dxfId="334" priority="342"/>
    <cfRule type="duplicateValues" dxfId="333" priority="341"/>
    <cfRule type="duplicateValues" dxfId="332" priority="339"/>
    <cfRule type="duplicateValues" dxfId="331" priority="338"/>
    <cfRule type="duplicateValues" dxfId="330" priority="337"/>
    <cfRule type="duplicateValues" dxfId="329" priority="336"/>
    <cfRule type="duplicateValues" dxfId="328" priority="335"/>
    <cfRule type="duplicateValues" dxfId="327" priority="332"/>
    <cfRule type="duplicateValues" dxfId="326" priority="333"/>
    <cfRule type="duplicateValues" dxfId="325" priority="340"/>
  </conditionalFormatting>
  <conditionalFormatting sqref="E279">
    <cfRule type="duplicateValues" dxfId="324" priority="329"/>
    <cfRule type="duplicateValues" dxfId="323" priority="330"/>
    <cfRule type="duplicateValues" dxfId="322" priority="331"/>
    <cfRule type="duplicateValues" dxfId="321" priority="322"/>
    <cfRule type="duplicateValues" dxfId="320" priority="325"/>
    <cfRule type="duplicateValues" dxfId="319" priority="321"/>
    <cfRule type="duplicateValues" dxfId="318" priority="323"/>
    <cfRule type="duplicateValues" dxfId="317" priority="324"/>
    <cfRule type="duplicateValues" dxfId="316" priority="326"/>
    <cfRule type="duplicateValues" dxfId="315" priority="327"/>
    <cfRule type="duplicateValues" dxfId="314" priority="328"/>
  </conditionalFormatting>
  <conditionalFormatting sqref="E280:E283">
    <cfRule type="duplicateValues" dxfId="313" priority="312"/>
    <cfRule type="duplicateValues" dxfId="312" priority="320"/>
    <cfRule type="duplicateValues" dxfId="311" priority="319"/>
    <cfRule type="duplicateValues" dxfId="310" priority="318"/>
    <cfRule type="duplicateValues" dxfId="309" priority="317"/>
    <cfRule type="duplicateValues" dxfId="308" priority="316"/>
    <cfRule type="duplicateValues" dxfId="307" priority="315"/>
    <cfRule type="duplicateValues" dxfId="306" priority="314"/>
    <cfRule type="duplicateValues" dxfId="305" priority="311"/>
    <cfRule type="duplicateValues" dxfId="304" priority="313"/>
    <cfRule type="duplicateValues" dxfId="303" priority="310"/>
  </conditionalFormatting>
  <conditionalFormatting sqref="E284:E286">
    <cfRule type="duplicateValues" dxfId="302" priority="307"/>
    <cfRule type="duplicateValues" dxfId="301" priority="306"/>
    <cfRule type="duplicateValues" dxfId="300" priority="305"/>
    <cfRule type="duplicateValues" dxfId="299" priority="308"/>
    <cfRule type="duplicateValues" dxfId="298" priority="304"/>
    <cfRule type="duplicateValues" dxfId="297" priority="309"/>
  </conditionalFormatting>
  <conditionalFormatting sqref="E286">
    <cfRule type="duplicateValues" dxfId="296" priority="303"/>
    <cfRule type="duplicateValues" dxfId="295" priority="302"/>
    <cfRule type="duplicateValues" dxfId="294" priority="301"/>
    <cfRule type="duplicateValues" dxfId="293" priority="300"/>
    <cfRule type="duplicateValues" dxfId="292" priority="299"/>
  </conditionalFormatting>
  <conditionalFormatting sqref="E287:E288">
    <cfRule type="duplicateValues" dxfId="291" priority="298"/>
    <cfRule type="duplicateValues" dxfId="290" priority="296"/>
    <cfRule type="duplicateValues" dxfId="289" priority="295"/>
    <cfRule type="duplicateValues" dxfId="288" priority="294"/>
    <cfRule type="duplicateValues" dxfId="287" priority="293"/>
    <cfRule type="duplicateValues" dxfId="286" priority="297"/>
  </conditionalFormatting>
  <conditionalFormatting sqref="E289">
    <cfRule type="duplicateValues" dxfId="285" priority="281"/>
    <cfRule type="duplicateValues" dxfId="284" priority="282"/>
    <cfRule type="duplicateValues" dxfId="283" priority="269"/>
    <cfRule type="duplicateValues" dxfId="282" priority="290"/>
    <cfRule type="duplicateValues" dxfId="281" priority="267"/>
    <cfRule type="duplicateValues" dxfId="280" priority="268"/>
    <cfRule type="duplicateValues" dxfId="279" priority="270"/>
    <cfRule type="duplicateValues" dxfId="278" priority="271"/>
    <cfRule type="duplicateValues" dxfId="277" priority="272"/>
    <cfRule type="duplicateValues" dxfId="276" priority="273"/>
    <cfRule type="duplicateValues" dxfId="275" priority="275"/>
    <cfRule type="duplicateValues" dxfId="274" priority="283"/>
    <cfRule type="duplicateValues" dxfId="273" priority="276"/>
    <cfRule type="duplicateValues" dxfId="272" priority="277"/>
    <cfRule type="duplicateValues" dxfId="271" priority="278"/>
    <cfRule type="duplicateValues" dxfId="270" priority="279"/>
    <cfRule type="duplicateValues" dxfId="269" priority="292"/>
    <cfRule type="duplicateValues" dxfId="268" priority="291"/>
    <cfRule type="duplicateValues" dxfId="267" priority="280"/>
    <cfRule type="duplicateValues" dxfId="266" priority="289"/>
    <cfRule type="duplicateValues" dxfId="265" priority="288"/>
    <cfRule type="duplicateValues" dxfId="264" priority="287"/>
    <cfRule type="duplicateValues" dxfId="263" priority="286"/>
    <cfRule type="duplicateValues" dxfId="262" priority="285"/>
    <cfRule type="duplicateValues" dxfId="261" priority="284"/>
    <cfRule type="duplicateValues" dxfId="260" priority="274"/>
  </conditionalFormatting>
  <conditionalFormatting sqref="E290">
    <cfRule type="duplicateValues" dxfId="259" priority="76"/>
    <cfRule type="duplicateValues" dxfId="258" priority="75"/>
    <cfRule type="duplicateValues" dxfId="257" priority="74"/>
    <cfRule type="duplicateValues" dxfId="256" priority="73"/>
    <cfRule type="duplicateValues" dxfId="255" priority="72"/>
    <cfRule type="duplicateValues" dxfId="254" priority="71"/>
    <cfRule type="duplicateValues" dxfId="253" priority="70"/>
    <cfRule type="duplicateValues" dxfId="252" priority="69"/>
    <cfRule type="duplicateValues" dxfId="251" priority="68"/>
    <cfRule type="duplicateValues" dxfId="250" priority="67"/>
    <cfRule type="duplicateValues" dxfId="249" priority="77"/>
  </conditionalFormatting>
  <conditionalFormatting sqref="E291:E292">
    <cfRule type="duplicateValues" dxfId="248" priority="256"/>
    <cfRule type="duplicateValues" dxfId="247" priority="257"/>
    <cfRule type="duplicateValues" dxfId="246" priority="263"/>
    <cfRule type="duplicateValues" dxfId="245" priority="264"/>
    <cfRule type="duplicateValues" dxfId="244" priority="265"/>
    <cfRule type="duplicateValues" dxfId="243" priority="262"/>
    <cfRule type="duplicateValues" dxfId="242" priority="266"/>
    <cfRule type="duplicateValues" dxfId="241" priority="261"/>
    <cfRule type="duplicateValues" dxfId="240" priority="260"/>
    <cfRule type="duplicateValues" dxfId="239" priority="259"/>
    <cfRule type="duplicateValues" dxfId="238" priority="258"/>
  </conditionalFormatting>
  <conditionalFormatting sqref="E293">
    <cfRule type="duplicateValues" dxfId="237" priority="157"/>
    <cfRule type="duplicateValues" dxfId="236" priority="163"/>
    <cfRule type="duplicateValues" dxfId="235" priority="164"/>
    <cfRule type="duplicateValues" dxfId="234" priority="165"/>
    <cfRule type="duplicateValues" dxfId="233" priority="167"/>
    <cfRule type="duplicateValues" dxfId="232" priority="166"/>
    <cfRule type="duplicateValues" dxfId="231" priority="162"/>
    <cfRule type="duplicateValues" dxfId="230" priority="161"/>
    <cfRule type="duplicateValues" dxfId="229" priority="160"/>
    <cfRule type="duplicateValues" dxfId="228" priority="159"/>
    <cfRule type="duplicateValues" dxfId="227" priority="158"/>
  </conditionalFormatting>
  <conditionalFormatting sqref="E294">
    <cfRule type="duplicateValues" dxfId="226" priority="250"/>
    <cfRule type="duplicateValues" dxfId="225" priority="245"/>
    <cfRule type="duplicateValues" dxfId="224" priority="255"/>
    <cfRule type="duplicateValues" dxfId="223" priority="254"/>
    <cfRule type="duplicateValues" dxfId="222" priority="253"/>
    <cfRule type="duplicateValues" dxfId="221" priority="252"/>
    <cfRule type="duplicateValues" dxfId="220" priority="251"/>
    <cfRule type="duplicateValues" dxfId="219" priority="249"/>
    <cfRule type="duplicateValues" dxfId="218" priority="246"/>
    <cfRule type="duplicateValues" dxfId="217" priority="248"/>
    <cfRule type="duplicateValues" dxfId="216" priority="247"/>
  </conditionalFormatting>
  <conditionalFormatting sqref="E295:E298">
    <cfRule type="duplicateValues" dxfId="215" priority="243"/>
    <cfRule type="duplicateValues" dxfId="214" priority="239"/>
    <cfRule type="duplicateValues" dxfId="213" priority="240"/>
    <cfRule type="duplicateValues" dxfId="212" priority="241"/>
    <cfRule type="duplicateValues" dxfId="211" priority="242"/>
    <cfRule type="duplicateValues" dxfId="210" priority="237"/>
    <cfRule type="duplicateValues" dxfId="209" priority="244"/>
    <cfRule type="duplicateValues" dxfId="208" priority="238"/>
    <cfRule type="duplicateValues" dxfId="207" priority="236"/>
    <cfRule type="duplicateValues" dxfId="206" priority="235"/>
    <cfRule type="duplicateValues" dxfId="205" priority="234"/>
  </conditionalFormatting>
  <conditionalFormatting sqref="E299">
    <cfRule type="duplicateValues" dxfId="204" priority="228"/>
    <cfRule type="duplicateValues" dxfId="203" priority="229"/>
    <cfRule type="duplicateValues" dxfId="202" priority="230"/>
    <cfRule type="duplicateValues" dxfId="201" priority="232"/>
    <cfRule type="duplicateValues" dxfId="200" priority="233"/>
    <cfRule type="duplicateValues" dxfId="199" priority="231"/>
    <cfRule type="duplicateValues" dxfId="198" priority="223"/>
    <cfRule type="duplicateValues" dxfId="197" priority="224"/>
    <cfRule type="duplicateValues" dxfId="196" priority="225"/>
    <cfRule type="duplicateValues" dxfId="195" priority="226"/>
    <cfRule type="duplicateValues" dxfId="194" priority="227"/>
  </conditionalFormatting>
  <conditionalFormatting sqref="E300">
    <cfRule type="duplicateValues" dxfId="193" priority="216"/>
    <cfRule type="duplicateValues" dxfId="192" priority="215"/>
    <cfRule type="duplicateValues" dxfId="191" priority="212"/>
    <cfRule type="duplicateValues" dxfId="190" priority="214"/>
    <cfRule type="duplicateValues" dxfId="189" priority="213"/>
    <cfRule type="duplicateValues" dxfId="188" priority="217"/>
    <cfRule type="duplicateValues" dxfId="187" priority="218"/>
    <cfRule type="duplicateValues" dxfId="186" priority="219"/>
    <cfRule type="duplicateValues" dxfId="185" priority="222"/>
    <cfRule type="duplicateValues" dxfId="184" priority="221"/>
    <cfRule type="duplicateValues" dxfId="183" priority="220"/>
  </conditionalFormatting>
  <conditionalFormatting sqref="E301:E303">
    <cfRule type="duplicateValues" dxfId="182" priority="202"/>
    <cfRule type="duplicateValues" dxfId="181" priority="210"/>
    <cfRule type="duplicateValues" dxfId="180" priority="203"/>
    <cfRule type="duplicateValues" dxfId="179" priority="205"/>
    <cfRule type="duplicateValues" dxfId="178" priority="206"/>
    <cfRule type="duplicateValues" dxfId="177" priority="211"/>
    <cfRule type="duplicateValues" dxfId="176" priority="208"/>
    <cfRule type="duplicateValues" dxfId="175" priority="209"/>
    <cfRule type="duplicateValues" dxfId="174" priority="201"/>
    <cfRule type="duplicateValues" dxfId="173" priority="207"/>
    <cfRule type="duplicateValues" dxfId="172" priority="204"/>
  </conditionalFormatting>
  <conditionalFormatting sqref="E304:E306">
    <cfRule type="duplicateValues" dxfId="171" priority="198"/>
    <cfRule type="duplicateValues" dxfId="170" priority="193"/>
    <cfRule type="duplicateValues" dxfId="169" priority="192"/>
    <cfRule type="duplicateValues" dxfId="168" priority="194"/>
    <cfRule type="duplicateValues" dxfId="167" priority="195"/>
    <cfRule type="duplicateValues" dxfId="166" priority="196"/>
    <cfRule type="duplicateValues" dxfId="165" priority="197"/>
    <cfRule type="duplicateValues" dxfId="164" priority="199"/>
    <cfRule type="duplicateValues" dxfId="163" priority="190"/>
    <cfRule type="duplicateValues" dxfId="162" priority="191"/>
    <cfRule type="duplicateValues" dxfId="161" priority="200"/>
  </conditionalFormatting>
  <conditionalFormatting sqref="E307:E310">
    <cfRule type="duplicateValues" dxfId="160" priority="187"/>
    <cfRule type="duplicateValues" dxfId="159" priority="180"/>
    <cfRule type="duplicateValues" dxfId="158" priority="184"/>
    <cfRule type="duplicateValues" dxfId="157" priority="185"/>
    <cfRule type="duplicateValues" dxfId="156" priority="186"/>
    <cfRule type="duplicateValues" dxfId="155" priority="182"/>
    <cfRule type="duplicateValues" dxfId="154" priority="189"/>
    <cfRule type="duplicateValues" dxfId="153" priority="181"/>
    <cfRule type="duplicateValues" dxfId="152" priority="188"/>
    <cfRule type="duplicateValues" dxfId="151" priority="183"/>
    <cfRule type="duplicateValues" dxfId="150" priority="179"/>
  </conditionalFormatting>
  <conditionalFormatting sqref="E311">
    <cfRule type="duplicateValues" dxfId="149" priority="113"/>
    <cfRule type="duplicateValues" dxfId="148" priority="112"/>
    <cfRule type="duplicateValues" dxfId="147" priority="111"/>
    <cfRule type="duplicateValues" dxfId="146" priority="110"/>
    <cfRule type="duplicateValues" dxfId="145" priority="109"/>
    <cfRule type="duplicateValues" dxfId="144" priority="108"/>
    <cfRule type="duplicateValues" dxfId="143" priority="125"/>
    <cfRule type="duplicateValues" dxfId="142" priority="124"/>
    <cfRule type="duplicateValues" dxfId="141" priority="123"/>
    <cfRule type="duplicateValues" dxfId="140" priority="122"/>
    <cfRule type="duplicateValues" dxfId="139" priority="121"/>
    <cfRule type="duplicateValues" dxfId="138" priority="120"/>
    <cfRule type="duplicateValues" dxfId="137" priority="119"/>
    <cfRule type="duplicateValues" dxfId="136" priority="118"/>
    <cfRule type="duplicateValues" dxfId="135" priority="117"/>
    <cfRule type="duplicateValues" dxfId="134" priority="116"/>
    <cfRule type="duplicateValues" dxfId="133" priority="115"/>
    <cfRule type="duplicateValues" dxfId="132" priority="114"/>
    <cfRule type="duplicateValues" dxfId="131" priority="133"/>
    <cfRule type="duplicateValues" dxfId="130" priority="132"/>
    <cfRule type="duplicateValues" dxfId="129" priority="131"/>
    <cfRule type="duplicateValues" dxfId="128" priority="130"/>
    <cfRule type="duplicateValues" dxfId="127" priority="129"/>
    <cfRule type="duplicateValues" dxfId="126" priority="128"/>
    <cfRule type="duplicateValues" dxfId="125" priority="127"/>
    <cfRule type="duplicateValues" dxfId="124" priority="126"/>
  </conditionalFormatting>
  <conditionalFormatting sqref="E312:E315">
    <cfRule type="duplicateValues" dxfId="123" priority="99"/>
    <cfRule type="duplicateValues" dxfId="122" priority="103"/>
    <cfRule type="duplicateValues" dxfId="121" priority="105"/>
    <cfRule type="duplicateValues" dxfId="120" priority="104"/>
    <cfRule type="duplicateValues" dxfId="119" priority="102"/>
    <cfRule type="duplicateValues" dxfId="118" priority="101"/>
    <cfRule type="duplicateValues" dxfId="117" priority="97"/>
    <cfRule type="duplicateValues" dxfId="116" priority="100"/>
    <cfRule type="duplicateValues" dxfId="115" priority="98"/>
    <cfRule type="duplicateValues" dxfId="114" priority="106"/>
    <cfRule type="duplicateValues" dxfId="113" priority="107"/>
  </conditionalFormatting>
  <conditionalFormatting sqref="E316:E317">
    <cfRule type="duplicateValues" dxfId="112" priority="57"/>
    <cfRule type="duplicateValues" dxfId="111" priority="65"/>
    <cfRule type="duplicateValues" dxfId="110" priority="56"/>
    <cfRule type="duplicateValues" dxfId="109" priority="64"/>
    <cfRule type="duplicateValues" dxfId="108" priority="66"/>
    <cfRule type="duplicateValues" dxfId="107" priority="58"/>
    <cfRule type="duplicateValues" dxfId="106" priority="59"/>
    <cfRule type="duplicateValues" dxfId="105" priority="60"/>
    <cfRule type="duplicateValues" dxfId="104" priority="61"/>
    <cfRule type="duplicateValues" dxfId="103" priority="62"/>
    <cfRule type="duplicateValues" dxfId="102" priority="63"/>
  </conditionalFormatting>
  <conditionalFormatting sqref="E318">
    <cfRule type="duplicateValues" dxfId="101" priority="54"/>
    <cfRule type="duplicateValues" dxfId="100" priority="45"/>
    <cfRule type="duplicateValues" dxfId="99" priority="47"/>
    <cfRule type="duplicateValues" dxfId="98" priority="49"/>
    <cfRule type="duplicateValues" dxfId="97" priority="50"/>
    <cfRule type="duplicateValues" dxfId="96" priority="51"/>
    <cfRule type="duplicateValues" dxfId="95" priority="52"/>
    <cfRule type="duplicateValues" dxfId="94" priority="53"/>
    <cfRule type="duplicateValues" dxfId="93" priority="55"/>
    <cfRule type="duplicateValues" dxfId="92" priority="48"/>
    <cfRule type="duplicateValues" dxfId="91" priority="46"/>
  </conditionalFormatting>
  <conditionalFormatting sqref="E319:E322">
    <cfRule type="duplicateValues" dxfId="90" priority="41"/>
    <cfRule type="duplicateValues" dxfId="89" priority="39"/>
    <cfRule type="duplicateValues" dxfId="88" priority="38"/>
    <cfRule type="duplicateValues" dxfId="87" priority="36"/>
    <cfRule type="duplicateValues" dxfId="86" priority="35"/>
    <cfRule type="duplicateValues" dxfId="85" priority="37"/>
    <cfRule type="duplicateValues" dxfId="84" priority="34"/>
    <cfRule type="duplicateValues" dxfId="83" priority="40"/>
    <cfRule type="duplicateValues" dxfId="82" priority="42"/>
    <cfRule type="duplicateValues" dxfId="81" priority="43"/>
    <cfRule type="duplicateValues" dxfId="80" priority="44"/>
  </conditionalFormatting>
  <conditionalFormatting sqref="E323">
    <cfRule type="duplicateValues" dxfId="79" priority="23"/>
    <cfRule type="duplicateValues" dxfId="78" priority="24"/>
    <cfRule type="duplicateValues" dxfId="77" priority="25"/>
    <cfRule type="duplicateValues" dxfId="76" priority="26"/>
    <cfRule type="duplicateValues" dxfId="75" priority="27"/>
    <cfRule type="duplicateValues" dxfId="74" priority="28"/>
    <cfRule type="duplicateValues" dxfId="73" priority="29"/>
    <cfRule type="duplicateValues" dxfId="72" priority="31"/>
    <cfRule type="duplicateValues" dxfId="71" priority="32"/>
    <cfRule type="duplicateValues" dxfId="70" priority="33"/>
    <cfRule type="duplicateValues" dxfId="69" priority="30"/>
  </conditionalFormatting>
  <conditionalFormatting sqref="E324">
    <cfRule type="duplicateValues" dxfId="68" priority="21"/>
    <cfRule type="duplicateValues" dxfId="67" priority="20"/>
    <cfRule type="duplicateValues" dxfId="66" priority="19"/>
    <cfRule type="duplicateValues" dxfId="65" priority="22"/>
    <cfRule type="duplicateValues" dxfId="64" priority="18"/>
    <cfRule type="duplicateValues" dxfId="63" priority="17"/>
    <cfRule type="duplicateValues" dxfId="62" priority="16"/>
    <cfRule type="duplicateValues" dxfId="61" priority="15"/>
    <cfRule type="duplicateValues" dxfId="60" priority="14"/>
    <cfRule type="duplicateValues" dxfId="59" priority="13"/>
    <cfRule type="duplicateValues" dxfId="58" priority="12"/>
  </conditionalFormatting>
  <conditionalFormatting sqref="E325">
    <cfRule type="duplicateValues" dxfId="57" priority="11"/>
    <cfRule type="duplicateValues" dxfId="56" priority="10"/>
    <cfRule type="duplicateValues" dxfId="55" priority="9"/>
    <cfRule type="duplicateValues" dxfId="54" priority="8"/>
    <cfRule type="duplicateValues" dxfId="53" priority="7"/>
    <cfRule type="duplicateValues" dxfId="52" priority="6"/>
    <cfRule type="duplicateValues" dxfId="51" priority="5"/>
    <cfRule type="duplicateValues" dxfId="50" priority="4"/>
    <cfRule type="duplicateValues" dxfId="49" priority="3"/>
    <cfRule type="duplicateValues" dxfId="48" priority="2"/>
    <cfRule type="duplicateValues" dxfId="47" priority="1"/>
  </conditionalFormatting>
  <conditionalFormatting sqref="E326 E1:E254 E334:E1048576 E257 E259:E289 E291:E310">
    <cfRule type="duplicateValues" dxfId="46" priority="134"/>
  </conditionalFormatting>
  <conditionalFormatting sqref="E326 E253:E254">
    <cfRule type="duplicateValues" dxfId="45" priority="18664"/>
    <cfRule type="duplicateValues" dxfId="44" priority="18665"/>
    <cfRule type="duplicateValues" dxfId="43" priority="18666"/>
    <cfRule type="duplicateValues" dxfId="42" priority="18667"/>
    <cfRule type="duplicateValues" dxfId="41" priority="18668"/>
    <cfRule type="duplicateValues" dxfId="40" priority="18669"/>
  </conditionalFormatting>
  <conditionalFormatting sqref="E326:E1048576 E1:E254 E257 E259:E289 E291:E315">
    <cfRule type="duplicateValues" dxfId="39" priority="96"/>
  </conditionalFormatting>
  <conditionalFormatting sqref="G1">
    <cfRule type="duplicateValues" dxfId="38" priority="18657"/>
  </conditionalFormatting>
  <dataValidations disablePrompts="1" count="6">
    <dataValidation type="list" allowBlank="1" showInputMessage="1" showErrorMessage="1" sqref="H2:H254" xr:uid="{1A8E8A66-F2A3-4C53-8C9B-E5B927742CBD}">
      <formula1>#REF!</formula1>
    </dataValidation>
    <dataValidation type="list" allowBlank="1" showInputMessage="1" showErrorMessage="1" sqref="H311 H266 H289 H255:H258" xr:uid="{AEDD2CFC-CD95-49C1-907F-05F233787F7B}">
      <formula1>$Y$2:$Y$36</formula1>
    </dataValidation>
    <dataValidation type="list" allowBlank="1" showInputMessage="1" showErrorMessage="1" sqref="H259:H261 H268 H270:H272 H284:H288 H300:H303 H318 H323" xr:uid="{FE48C40E-0156-4244-B642-CCBEA6F758F4}">
      <formula1>$Y$2:$Y$38</formula1>
    </dataValidation>
    <dataValidation type="list" allowBlank="1" showInputMessage="1" showErrorMessage="1" sqref="H262:H265" xr:uid="{12CDAF05-747E-401D-B076-07CAD23CCF4F}">
      <formula1>$W$2:$W$29</formula1>
    </dataValidation>
    <dataValidation type="list" allowBlank="1" showInputMessage="1" showErrorMessage="1" sqref="H267 H304:H306" xr:uid="{F37B6C68-7527-49F9-9783-74EDE7AE7D34}">
      <formula1>$Y$2:$Y$35</formula1>
    </dataValidation>
    <dataValidation type="list" allowBlank="1" showInputMessage="1" showErrorMessage="1" sqref="H269 H273 H293" xr:uid="{EB919A6E-A3C8-410E-AB8D-3BAF31F3DAA1}">
      <formula1>$Y$2:$Y$34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5B56-B05A-4349-821C-54A08DF7B89E}">
  <dimension ref="A1:G37"/>
  <sheetViews>
    <sheetView topLeftCell="A17" workbookViewId="0">
      <selection activeCell="B4" sqref="A4:XFD4"/>
    </sheetView>
  </sheetViews>
  <sheetFormatPr defaultColWidth="8.77734375" defaultRowHeight="10.199999999999999" x14ac:dyDescent="0.2"/>
  <cols>
    <col min="1" max="1" width="59.44140625" style="57" bestFit="1" customWidth="1"/>
    <col min="2" max="2" width="19.44140625" style="57" bestFit="1" customWidth="1"/>
    <col min="3" max="3" width="22" style="57" bestFit="1" customWidth="1"/>
    <col min="4" max="4" width="16.44140625" style="57" bestFit="1" customWidth="1"/>
    <col min="5" max="5" width="15.77734375" style="57" bestFit="1" customWidth="1"/>
    <col min="6" max="6" width="8.77734375" style="57"/>
    <col min="7" max="7" width="10.77734375" style="57" bestFit="1" customWidth="1"/>
    <col min="8" max="16384" width="8.77734375" style="57"/>
  </cols>
  <sheetData>
    <row r="1" spans="1:7" s="53" customFormat="1" ht="20.399999999999999" x14ac:dyDescent="0.3">
      <c r="A1" s="52" t="s">
        <v>43</v>
      </c>
      <c r="B1" s="52" t="s">
        <v>42</v>
      </c>
      <c r="C1" s="52" t="s">
        <v>58</v>
      </c>
      <c r="D1" s="52" t="s">
        <v>41</v>
      </c>
    </row>
    <row r="2" spans="1:7" x14ac:dyDescent="0.2">
      <c r="A2" s="54" t="s">
        <v>19</v>
      </c>
      <c r="B2" s="55">
        <v>650000000</v>
      </c>
      <c r="C2" s="55">
        <f>GETPIVOTDATA("BILL AMOUNT",$A$20,"CUSTOMER NAME","Tata Projects Limited")</f>
        <v>93102900.849999994</v>
      </c>
      <c r="D2" s="55">
        <f t="shared" ref="D2:D10" si="0">B2-C2</f>
        <v>556897099.14999998</v>
      </c>
      <c r="E2" s="56">
        <f t="shared" ref="E2:E8" si="1">D2/9</f>
        <v>61877455.461111106</v>
      </c>
      <c r="G2" s="63"/>
    </row>
    <row r="3" spans="1:7" x14ac:dyDescent="0.2">
      <c r="A3" s="54" t="s">
        <v>24</v>
      </c>
      <c r="B3" s="55">
        <v>1000000</v>
      </c>
      <c r="C3" s="55">
        <f>GETPIVOTDATA("BILL AMOUNT",$A$20,"CUSTOMER NAME","TPL-SSGIPL JV Project")</f>
        <v>184489</v>
      </c>
      <c r="D3" s="55">
        <f t="shared" si="0"/>
        <v>815511</v>
      </c>
      <c r="E3" s="56">
        <f t="shared" si="1"/>
        <v>90612.333333333328</v>
      </c>
    </row>
    <row r="4" spans="1:7" x14ac:dyDescent="0.2">
      <c r="A4" s="54" t="s">
        <v>35</v>
      </c>
      <c r="B4" s="55">
        <v>40000000</v>
      </c>
      <c r="C4" s="55">
        <f>GETPIVOTDATA("BILL AMOUNT",$A$20,"CUSTOMER NAME","Novartis Healthcare Pvt. Ltd")</f>
        <v>9293036</v>
      </c>
      <c r="D4" s="55">
        <f t="shared" si="0"/>
        <v>30706964</v>
      </c>
      <c r="E4" s="56">
        <f t="shared" si="1"/>
        <v>3411884.888888889</v>
      </c>
    </row>
    <row r="5" spans="1:7" x14ac:dyDescent="0.2">
      <c r="A5" s="54" t="s">
        <v>38</v>
      </c>
      <c r="B5" s="55">
        <v>20000000</v>
      </c>
      <c r="C5" s="55">
        <f>GETPIVOTDATA("BILL AMOUNT",$A$20,"CUSTOMER NAME","SANDOZ PRIVATE LIMITED")</f>
        <v>801999</v>
      </c>
      <c r="D5" s="55">
        <f t="shared" si="0"/>
        <v>19198001</v>
      </c>
      <c r="E5" s="56">
        <f t="shared" si="1"/>
        <v>2133111.222222222</v>
      </c>
    </row>
    <row r="6" spans="1:7" x14ac:dyDescent="0.2">
      <c r="A6" s="54" t="s">
        <v>20</v>
      </c>
      <c r="B6" s="55">
        <v>400000000</v>
      </c>
      <c r="C6" s="55">
        <f>GETPIVOTDATA("BILL AMOUNT",$A$20,"CUSTOMER NAME","Mundra Solar PV Ltd")</f>
        <v>75788449</v>
      </c>
      <c r="D6" s="55">
        <f t="shared" si="0"/>
        <v>324211551</v>
      </c>
      <c r="E6" s="56">
        <f t="shared" si="1"/>
        <v>36023505.666666664</v>
      </c>
    </row>
    <row r="7" spans="1:7" x14ac:dyDescent="0.2">
      <c r="A7" s="54" t="s">
        <v>29</v>
      </c>
      <c r="B7" s="55">
        <v>400000000</v>
      </c>
      <c r="C7" s="55">
        <f>GETPIVOTDATA("BILL AMOUNT",$A$20,"CUSTOMER NAME","Mundra Solar Energy Limited")</f>
        <v>64702526</v>
      </c>
      <c r="D7" s="55">
        <f t="shared" si="0"/>
        <v>335297474</v>
      </c>
      <c r="E7" s="56">
        <f t="shared" si="1"/>
        <v>37255274.888888888</v>
      </c>
    </row>
    <row r="8" spans="1:7" x14ac:dyDescent="0.2">
      <c r="A8" s="54" t="s">
        <v>36</v>
      </c>
      <c r="B8" s="55">
        <v>150000000</v>
      </c>
      <c r="C8" s="55">
        <f>GETPIVOTDATA("BILL AMOUNT",$A$20,"CUSTOMER NAME","Mundra Solar Technology Ltd")</f>
        <v>17140665</v>
      </c>
      <c r="D8" s="55">
        <f t="shared" si="0"/>
        <v>132859335</v>
      </c>
      <c r="E8" s="56">
        <f t="shared" si="1"/>
        <v>14762148.333333334</v>
      </c>
    </row>
    <row r="9" spans="1:7" x14ac:dyDescent="0.2">
      <c r="A9" s="54" t="s">
        <v>46</v>
      </c>
      <c r="B9" s="55">
        <v>100000000</v>
      </c>
      <c r="C9" s="55">
        <f>GETPIVOTDATA("BILL AMOUNT",$A$20,"CUSTOMER NAME","KUTCH COPPER LTD")</f>
        <v>576343</v>
      </c>
      <c r="D9" s="55">
        <f t="shared" si="0"/>
        <v>99423657</v>
      </c>
      <c r="E9" s="56">
        <f t="shared" ref="E9:E10" si="2">D9/4</f>
        <v>24855914.25</v>
      </c>
    </row>
    <row r="10" spans="1:7" x14ac:dyDescent="0.2">
      <c r="A10" s="54" t="s">
        <v>39</v>
      </c>
      <c r="B10" s="55">
        <v>10000000</v>
      </c>
      <c r="C10" s="55">
        <f>GETPIVOTDATA("BILL AMOUNT",$A$20,"CUSTOMER NAME","ADANI WATER LIMITED")</f>
        <v>103050</v>
      </c>
      <c r="D10" s="55">
        <f t="shared" si="0"/>
        <v>9896950</v>
      </c>
      <c r="E10" s="56">
        <f t="shared" si="2"/>
        <v>2474237.5</v>
      </c>
    </row>
    <row r="11" spans="1:7" x14ac:dyDescent="0.2">
      <c r="A11" s="58" t="s">
        <v>40</v>
      </c>
      <c r="B11" s="59">
        <f>SUM(B2:B10)</f>
        <v>1771000000</v>
      </c>
      <c r="C11" s="59">
        <f>SUM(C2:C10)</f>
        <v>261693457.84999999</v>
      </c>
      <c r="D11" s="59">
        <f>SUM(D2:D10)</f>
        <v>1509306542.1500001</v>
      </c>
    </row>
    <row r="14" spans="1:7" x14ac:dyDescent="0.2">
      <c r="C14" s="56"/>
    </row>
    <row r="20" spans="1:3" ht="14.4" x14ac:dyDescent="0.3">
      <c r="A20" s="61" t="s">
        <v>44</v>
      </c>
      <c r="B20" t="s">
        <v>45</v>
      </c>
      <c r="C20"/>
    </row>
    <row r="21" spans="1:3" ht="14.4" x14ac:dyDescent="0.3">
      <c r="A21" s="62" t="s">
        <v>53</v>
      </c>
      <c r="B21" s="373">
        <v>75788449</v>
      </c>
      <c r="C21"/>
    </row>
    <row r="22" spans="1:3" ht="14.4" x14ac:dyDescent="0.3">
      <c r="A22" s="62" t="s">
        <v>55</v>
      </c>
      <c r="B22" s="373">
        <v>9293036</v>
      </c>
      <c r="C22"/>
    </row>
    <row r="23" spans="1:3" ht="14.4" x14ac:dyDescent="0.3">
      <c r="A23" s="62" t="s">
        <v>38</v>
      </c>
      <c r="B23" s="373">
        <v>801999</v>
      </c>
      <c r="C23"/>
    </row>
    <row r="24" spans="1:3" ht="14.4" x14ac:dyDescent="0.3">
      <c r="A24" s="62" t="s">
        <v>52</v>
      </c>
      <c r="B24" s="373">
        <v>60800</v>
      </c>
      <c r="C24"/>
    </row>
    <row r="25" spans="1:3" ht="14.4" x14ac:dyDescent="0.3">
      <c r="A25" s="62" t="s">
        <v>51</v>
      </c>
      <c r="B25" s="373">
        <v>2400</v>
      </c>
      <c r="C25"/>
    </row>
    <row r="26" spans="1:3" ht="14.4" x14ac:dyDescent="0.3">
      <c r="A26" s="62" t="s">
        <v>50</v>
      </c>
      <c r="B26" s="373">
        <v>64702526</v>
      </c>
      <c r="C26"/>
    </row>
    <row r="27" spans="1:3" ht="14.4" x14ac:dyDescent="0.3">
      <c r="A27" s="62" t="s">
        <v>54</v>
      </c>
      <c r="B27" s="373">
        <v>17140665</v>
      </c>
      <c r="C27"/>
    </row>
    <row r="28" spans="1:3" ht="14.4" x14ac:dyDescent="0.3">
      <c r="A28" s="62" t="s">
        <v>39</v>
      </c>
      <c r="B28" s="373">
        <v>103050</v>
      </c>
      <c r="C28"/>
    </row>
    <row r="29" spans="1:3" ht="14.4" x14ac:dyDescent="0.3">
      <c r="A29" s="62" t="s">
        <v>46</v>
      </c>
      <c r="B29" s="373">
        <v>576343</v>
      </c>
      <c r="C29"/>
    </row>
    <row r="30" spans="1:3" ht="14.4" x14ac:dyDescent="0.3">
      <c r="A30" s="62" t="s">
        <v>49</v>
      </c>
      <c r="B30" s="373">
        <v>93102900.849999994</v>
      </c>
      <c r="C30"/>
    </row>
    <row r="31" spans="1:3" ht="14.4" x14ac:dyDescent="0.3">
      <c r="A31" s="62" t="s">
        <v>56</v>
      </c>
      <c r="B31" s="373">
        <v>184489</v>
      </c>
      <c r="C31"/>
    </row>
    <row r="32" spans="1:3" ht="14.4" x14ac:dyDescent="0.3">
      <c r="A32" s="62" t="s">
        <v>28</v>
      </c>
      <c r="B32" s="373">
        <v>12000</v>
      </c>
      <c r="C32"/>
    </row>
    <row r="33" spans="1:3" ht="14.4" x14ac:dyDescent="0.3">
      <c r="A33" s="62" t="s">
        <v>26</v>
      </c>
      <c r="B33" s="373">
        <v>12000</v>
      </c>
      <c r="C33"/>
    </row>
    <row r="34" spans="1:3" ht="14.4" x14ac:dyDescent="0.3">
      <c r="A34" s="62" t="s">
        <v>27</v>
      </c>
      <c r="B34" s="373">
        <v>11600</v>
      </c>
      <c r="C34"/>
    </row>
    <row r="35" spans="1:3" ht="14.4" x14ac:dyDescent="0.3">
      <c r="A35" s="62" t="s">
        <v>31</v>
      </c>
      <c r="B35" s="373">
        <v>10600</v>
      </c>
      <c r="C35"/>
    </row>
    <row r="36" spans="1:3" ht="14.4" x14ac:dyDescent="0.3">
      <c r="A36" s="62" t="s">
        <v>57</v>
      </c>
      <c r="B36" s="373">
        <v>395939</v>
      </c>
      <c r="C36"/>
    </row>
    <row r="37" spans="1:3" ht="14.4" x14ac:dyDescent="0.3">
      <c r="A37" s="62" t="s">
        <v>40</v>
      </c>
      <c r="B37" s="373">
        <v>262198796.84999999</v>
      </c>
      <c r="C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7A0A-07E9-4A62-93D1-DBC5C437BC4C}">
  <dimension ref="A1:AI1048345"/>
  <sheetViews>
    <sheetView zoomScale="80" zoomScaleNormal="80" workbookViewId="0">
      <pane xSplit="8" ySplit="1" topLeftCell="I2" activePane="bottomRight" state="frozen"/>
      <selection activeCell="B30" sqref="B30"/>
      <selection pane="topRight" activeCell="B30" sqref="B30"/>
      <selection pane="bottomLeft" activeCell="B30" sqref="B30"/>
      <selection pane="bottomRight" activeCell="E5" sqref="E5"/>
    </sheetView>
  </sheetViews>
  <sheetFormatPr defaultColWidth="9.21875" defaultRowHeight="30" customHeight="1" x14ac:dyDescent="0.3"/>
  <cols>
    <col min="1" max="1" width="5.44140625" style="12" customWidth="1"/>
    <col min="2" max="2" width="9.21875" style="12" customWidth="1"/>
    <col min="3" max="3" width="16.77734375" style="12" bestFit="1" customWidth="1"/>
    <col min="4" max="4" width="11.44140625" style="12" customWidth="1"/>
    <col min="5" max="5" width="17.21875" style="12" customWidth="1"/>
    <col min="6" max="6" width="20.44140625" style="13" customWidth="1"/>
    <col min="7" max="7" width="7.44140625" style="13" customWidth="1"/>
    <col min="8" max="8" width="43" style="11" customWidth="1"/>
    <col min="9" max="9" width="25.77734375" style="11" customWidth="1"/>
    <col min="10" max="10" width="19.44140625" style="11" customWidth="1"/>
    <col min="11" max="11" width="17.77734375" style="11" bestFit="1" customWidth="1"/>
    <col min="12" max="12" width="17.44140625" style="11" bestFit="1" customWidth="1"/>
    <col min="13" max="13" width="17.44140625" style="11" customWidth="1"/>
    <col min="14" max="14" width="19.21875" style="11" bestFit="1" customWidth="1"/>
    <col min="15" max="15" width="18.5546875" style="11" customWidth="1"/>
    <col min="16" max="16" width="13.44140625" style="11" customWidth="1"/>
    <col min="17" max="17" width="18.77734375" style="11" customWidth="1"/>
    <col min="18" max="18" width="16.44140625" style="11" customWidth="1"/>
    <col min="19" max="19" width="12.44140625" style="11" customWidth="1"/>
    <col min="20" max="20" width="16.44140625" style="13" customWidth="1"/>
    <col min="21" max="21" width="17.44140625" style="11" customWidth="1"/>
    <col min="22" max="22" width="37.44140625" style="11" customWidth="1"/>
    <col min="23" max="23" width="14.77734375" style="11" customWidth="1"/>
    <col min="24" max="24" width="17.44140625" style="11" customWidth="1"/>
    <col min="25" max="25" width="73" style="11" customWidth="1"/>
    <col min="26" max="32" width="19.21875" style="11" bestFit="1" customWidth="1"/>
    <col min="33" max="33" width="13.21875" style="11" bestFit="1" customWidth="1"/>
    <col min="34" max="34" width="15.44140625" style="11" customWidth="1"/>
    <col min="35" max="35" width="59.21875" style="11" bestFit="1" customWidth="1"/>
    <col min="36" max="16384" width="9.21875" style="11"/>
  </cols>
  <sheetData>
    <row r="1" spans="1:35" s="2" customFormat="1" ht="30" customHeight="1" x14ac:dyDescent="0.3">
      <c r="A1" s="1" t="s">
        <v>0</v>
      </c>
      <c r="B1" s="1" t="s">
        <v>1</v>
      </c>
      <c r="C1" s="1" t="s">
        <v>2</v>
      </c>
      <c r="D1" s="1" t="s">
        <v>30</v>
      </c>
      <c r="E1" s="1" t="s">
        <v>3</v>
      </c>
      <c r="F1" s="1" t="s">
        <v>23</v>
      </c>
      <c r="G1" s="1" t="s">
        <v>48</v>
      </c>
      <c r="H1" s="1" t="s">
        <v>4</v>
      </c>
      <c r="I1" s="1" t="s">
        <v>5</v>
      </c>
      <c r="J1" s="1" t="s">
        <v>6</v>
      </c>
      <c r="K1" s="1" t="s">
        <v>22</v>
      </c>
      <c r="L1" s="1" t="s">
        <v>21</v>
      </c>
      <c r="M1" s="1" t="s">
        <v>47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32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Z1" s="1" t="s">
        <v>385</v>
      </c>
      <c r="AA1" s="1" t="s">
        <v>386</v>
      </c>
      <c r="AB1" s="1" t="s">
        <v>387</v>
      </c>
      <c r="AC1" s="1" t="s">
        <v>388</v>
      </c>
      <c r="AD1" s="1" t="s">
        <v>389</v>
      </c>
      <c r="AE1" s="235" t="s">
        <v>390</v>
      </c>
      <c r="AF1" s="238" t="s">
        <v>391</v>
      </c>
      <c r="AG1" s="1" t="s">
        <v>397</v>
      </c>
      <c r="AH1" s="1" t="s">
        <v>398</v>
      </c>
      <c r="AI1" s="1" t="s">
        <v>25</v>
      </c>
    </row>
    <row r="2" spans="1:35" ht="30" customHeight="1" x14ac:dyDescent="0.3">
      <c r="A2" s="3">
        <v>1</v>
      </c>
      <c r="B2" s="203" t="s">
        <v>305</v>
      </c>
      <c r="C2" s="205">
        <v>45838</v>
      </c>
      <c r="D2" s="205" t="s">
        <v>70</v>
      </c>
      <c r="E2" s="241" t="s">
        <v>435</v>
      </c>
      <c r="F2" s="205" t="s">
        <v>87</v>
      </c>
      <c r="G2" s="206">
        <v>24</v>
      </c>
      <c r="H2" s="8" t="s">
        <v>53</v>
      </c>
      <c r="I2" s="24" t="s">
        <v>436</v>
      </c>
      <c r="J2" s="162">
        <v>5419454</v>
      </c>
      <c r="K2" s="41">
        <f>ROUND(IF(G2=36,J2*9%,0),0)</f>
        <v>0</v>
      </c>
      <c r="L2" s="201">
        <f>ROUND(IF(G2=36,J2*9%,0),0)</f>
        <v>0</v>
      </c>
      <c r="M2" s="40">
        <f>ROUND(IF(G2=36,J2*0%,J2*18%),0)</f>
        <v>975502</v>
      </c>
      <c r="N2" s="41">
        <f>J2+K2+L2+M2</f>
        <v>6394956</v>
      </c>
      <c r="O2" s="21"/>
      <c r="P2" s="9"/>
      <c r="Q2" s="23"/>
      <c r="R2" s="67"/>
      <c r="S2" s="6"/>
      <c r="T2" s="10"/>
      <c r="U2" s="66">
        <f>N2-O2-Q2</f>
        <v>6394956</v>
      </c>
      <c r="V2" s="8"/>
      <c r="W2" s="7" t="str">
        <f>IF(U2=0,"No Due","Outstanding")</f>
        <v>Outstanding</v>
      </c>
      <c r="Z2" s="41"/>
      <c r="AA2" s="41"/>
      <c r="AB2" s="41"/>
      <c r="AC2" s="41"/>
      <c r="AD2" s="41"/>
      <c r="AE2" s="236"/>
      <c r="AF2" s="239"/>
      <c r="AG2" s="237"/>
      <c r="AH2" s="237"/>
      <c r="AI2" s="237"/>
    </row>
    <row r="3" spans="1:35" ht="30" customHeight="1" x14ac:dyDescent="0.3">
      <c r="A3" s="28"/>
      <c r="B3" s="29"/>
      <c r="C3" s="30"/>
      <c r="D3" s="30"/>
      <c r="E3" s="60"/>
      <c r="F3" s="30"/>
      <c r="G3" s="30"/>
      <c r="H3" s="31"/>
      <c r="I3" s="31"/>
      <c r="J3" s="23">
        <f t="shared" ref="J3:O3" si="0">SUM(J2:J2)</f>
        <v>5419454</v>
      </c>
      <c r="K3" s="23">
        <f t="shared" si="0"/>
        <v>0</v>
      </c>
      <c r="L3" s="23">
        <f t="shared" si="0"/>
        <v>0</v>
      </c>
      <c r="M3" s="23">
        <f t="shared" si="0"/>
        <v>975502</v>
      </c>
      <c r="N3" s="23">
        <f t="shared" si="0"/>
        <v>6394956</v>
      </c>
      <c r="O3" s="23">
        <f t="shared" si="0"/>
        <v>0</v>
      </c>
      <c r="P3" s="32"/>
      <c r="Q3" s="23">
        <f>SUM(Q2:Q2)</f>
        <v>0</v>
      </c>
      <c r="R3" s="33"/>
      <c r="S3" s="34"/>
      <c r="T3" s="35"/>
      <c r="U3" s="23">
        <f>SUM(U2:U2)</f>
        <v>6394956</v>
      </c>
      <c r="V3" s="31"/>
      <c r="W3" s="36"/>
      <c r="Z3" s="23">
        <f t="shared" ref="Z3:AH3" si="1">SUM(Z2:Z2)</f>
        <v>0</v>
      </c>
      <c r="AA3" s="23">
        <f t="shared" si="1"/>
        <v>0</v>
      </c>
      <c r="AB3" s="23">
        <f t="shared" si="1"/>
        <v>0</v>
      </c>
      <c r="AC3" s="23">
        <f t="shared" si="1"/>
        <v>0</v>
      </c>
      <c r="AD3" s="23">
        <f t="shared" si="1"/>
        <v>0</v>
      </c>
      <c r="AE3" s="236">
        <f t="shared" si="1"/>
        <v>0</v>
      </c>
      <c r="AF3" s="239">
        <f t="shared" si="1"/>
        <v>0</v>
      </c>
      <c r="AG3" s="23">
        <f t="shared" si="1"/>
        <v>0</v>
      </c>
      <c r="AH3" s="23">
        <f t="shared" si="1"/>
        <v>0</v>
      </c>
      <c r="AI3" s="23"/>
    </row>
    <row r="4" spans="1:35" ht="30" customHeight="1" x14ac:dyDescent="0.3">
      <c r="H4" s="47"/>
      <c r="J4" s="26"/>
      <c r="K4" s="64"/>
      <c r="N4" s="69"/>
      <c r="Q4" s="26"/>
      <c r="R4" s="38"/>
      <c r="U4" s="26">
        <f>U3*25%</f>
        <v>1598739</v>
      </c>
      <c r="Z4" s="69"/>
      <c r="AA4" s="69"/>
      <c r="AB4" s="69"/>
      <c r="AC4" s="69"/>
      <c r="AD4" s="69"/>
      <c r="AE4" s="69"/>
      <c r="AF4" s="69"/>
    </row>
    <row r="1048339" spans="33:35" ht="30" customHeight="1" x14ac:dyDescent="0.3">
      <c r="AG1048339" s="1"/>
      <c r="AI1048339" s="1"/>
    </row>
    <row r="1048340" spans="33:35" ht="30" customHeight="1" x14ac:dyDescent="0.3">
      <c r="AG1048340" s="41"/>
      <c r="AI1048340" s="41"/>
    </row>
    <row r="1048341" spans="33:35" ht="30" customHeight="1" x14ac:dyDescent="0.3">
      <c r="AG1048341" s="41"/>
      <c r="AI1048341" s="41"/>
    </row>
    <row r="1048342" spans="33:35" ht="30" customHeight="1" x14ac:dyDescent="0.3">
      <c r="AG1048342" s="41"/>
    </row>
    <row r="1048343" spans="33:35" ht="30" customHeight="1" x14ac:dyDescent="0.3">
      <c r="AG1048343" s="41"/>
    </row>
    <row r="1048344" spans="33:35" ht="30" customHeight="1" x14ac:dyDescent="0.3">
      <c r="AG1048344" s="41"/>
      <c r="AI1048344" s="41"/>
    </row>
    <row r="1048345" spans="33:35" ht="30" customHeight="1" x14ac:dyDescent="0.3">
      <c r="AG1048345" s="41"/>
    </row>
  </sheetData>
  <autoFilter ref="A1:W4" xr:uid="{00000000-0001-0000-0000-000000000000}"/>
  <dataConsolidate link="1"/>
  <conditionalFormatting sqref="E1:E1048576">
    <cfRule type="duplicateValues" dxfId="37" priority="61"/>
  </conditionalFormatting>
  <conditionalFormatting sqref="E2">
    <cfRule type="duplicateValues" dxfId="36" priority="16627"/>
    <cfRule type="duplicateValues" dxfId="35" priority="16638"/>
    <cfRule type="duplicateValues" dxfId="34" priority="16637"/>
    <cfRule type="duplicateValues" dxfId="33" priority="16636"/>
    <cfRule type="duplicateValues" dxfId="32" priority="16635"/>
    <cfRule type="duplicateValues" dxfId="31" priority="16634"/>
    <cfRule type="duplicateValues" dxfId="30" priority="16633"/>
    <cfRule type="duplicateValues" dxfId="29" priority="16632"/>
    <cfRule type="duplicateValues" dxfId="28" priority="16631"/>
    <cfRule type="duplicateValues" dxfId="27" priority="16630"/>
    <cfRule type="duplicateValues" dxfId="26" priority="16629"/>
    <cfRule type="duplicateValues" dxfId="25" priority="16628"/>
    <cfRule type="duplicateValues" dxfId="24" priority="16621"/>
    <cfRule type="duplicateValues" dxfId="23" priority="16622"/>
    <cfRule type="duplicateValues" dxfId="22" priority="16623"/>
    <cfRule type="duplicateValues" dxfId="21" priority="16624"/>
    <cfRule type="duplicateValues" dxfId="20" priority="16625"/>
    <cfRule type="duplicateValues" dxfId="19" priority="16626"/>
    <cfRule type="duplicateValues" dxfId="18" priority="16639"/>
    <cfRule type="duplicateValues" dxfId="17" priority="16640"/>
  </conditionalFormatting>
  <conditionalFormatting sqref="E2:E3">
    <cfRule type="duplicateValues" dxfId="16" priority="16645"/>
    <cfRule type="duplicateValues" dxfId="15" priority="16641"/>
    <cfRule type="duplicateValues" dxfId="14" priority="16642"/>
    <cfRule type="duplicateValues" dxfId="13" priority="16643"/>
    <cfRule type="duplicateValues" dxfId="12" priority="16644"/>
  </conditionalFormatting>
  <conditionalFormatting sqref="E3">
    <cfRule type="duplicateValues" dxfId="11" priority="66"/>
    <cfRule type="duplicateValues" dxfId="10" priority="65"/>
    <cfRule type="duplicateValues" dxfId="9" priority="64"/>
    <cfRule type="duplicateValues" dxfId="8" priority="63"/>
    <cfRule type="duplicateValues" dxfId="7" priority="62"/>
  </conditionalFormatting>
  <conditionalFormatting sqref="E4:E1048576 E1">
    <cfRule type="duplicateValues" dxfId="6" priority="57"/>
    <cfRule type="duplicateValues" dxfId="5" priority="56"/>
    <cfRule type="duplicateValues" dxfId="4" priority="55"/>
    <cfRule type="duplicateValues" dxfId="3" priority="54"/>
  </conditionalFormatting>
  <conditionalFormatting sqref="E4:E1048576">
    <cfRule type="duplicateValues" dxfId="2" priority="58"/>
  </conditionalFormatting>
  <conditionalFormatting sqref="E4:G1048576 E1:G1">
    <cfRule type="duplicateValues" dxfId="1" priority="59"/>
  </conditionalFormatting>
  <conditionalFormatting sqref="E4:G1048576">
    <cfRule type="duplicateValues" dxfId="0" priority="60"/>
  </conditionalFormatting>
  <dataValidations count="1">
    <dataValidation type="list" allowBlank="1" showInputMessage="1" showErrorMessage="1" sqref="H2" xr:uid="{4B1A41BB-0522-46D1-9796-4E7CBDE2D584}">
      <formula1>#REF!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F81B-CD36-407E-8634-82C56B5F5EDD}">
  <dimension ref="A1:E13"/>
  <sheetViews>
    <sheetView workbookViewId="0">
      <selection activeCell="F3" sqref="F3"/>
    </sheetView>
  </sheetViews>
  <sheetFormatPr defaultColWidth="8.77734375" defaultRowHeight="12.6" x14ac:dyDescent="0.2"/>
  <cols>
    <col min="1" max="1" width="7.21875" style="333" customWidth="1"/>
    <col min="2" max="2" width="19" style="333" bestFit="1" customWidth="1"/>
    <col min="3" max="3" width="14.21875" style="333" customWidth="1"/>
    <col min="4" max="4" width="17.21875" style="333" bestFit="1" customWidth="1"/>
    <col min="5" max="5" width="9.44140625" style="333" bestFit="1" customWidth="1"/>
    <col min="6" max="6" width="8.77734375" style="333"/>
    <col min="7" max="7" width="49.77734375" style="333" bestFit="1" customWidth="1"/>
    <col min="8" max="16384" width="8.77734375" style="333"/>
  </cols>
  <sheetData>
    <row r="1" spans="1:5" s="332" customFormat="1" ht="20.399999999999999" x14ac:dyDescent="0.3">
      <c r="A1" s="335" t="s">
        <v>725</v>
      </c>
      <c r="B1" s="335" t="s">
        <v>726</v>
      </c>
      <c r="C1" s="335" t="s">
        <v>736</v>
      </c>
      <c r="D1" s="335" t="s">
        <v>727</v>
      </c>
      <c r="E1" s="335" t="s">
        <v>728</v>
      </c>
    </row>
    <row r="2" spans="1:5" customFormat="1" ht="14.4" x14ac:dyDescent="0.3">
      <c r="A2" s="336">
        <v>1</v>
      </c>
      <c r="B2" s="337" t="s">
        <v>732</v>
      </c>
      <c r="C2" s="338" t="s">
        <v>737</v>
      </c>
      <c r="D2" s="339" t="s">
        <v>739</v>
      </c>
      <c r="E2" s="340">
        <v>5750</v>
      </c>
    </row>
    <row r="3" spans="1:5" customFormat="1" ht="14.4" x14ac:dyDescent="0.3">
      <c r="A3" s="341">
        <f>A2+1</f>
        <v>2</v>
      </c>
      <c r="B3" s="342" t="s">
        <v>733</v>
      </c>
      <c r="C3" s="338" t="s">
        <v>737</v>
      </c>
      <c r="D3" s="339" t="s">
        <v>740</v>
      </c>
      <c r="E3" s="340">
        <v>5750</v>
      </c>
    </row>
    <row r="4" spans="1:5" customFormat="1" ht="14.4" x14ac:dyDescent="0.3">
      <c r="A4" s="341">
        <f>A3+1</f>
        <v>3</v>
      </c>
      <c r="B4" s="343" t="s">
        <v>734</v>
      </c>
      <c r="C4" s="338" t="s">
        <v>737</v>
      </c>
      <c r="D4" s="339" t="s">
        <v>741</v>
      </c>
      <c r="E4" s="340">
        <v>5750</v>
      </c>
    </row>
    <row r="5" spans="1:5" customFormat="1" ht="14.4" x14ac:dyDescent="0.3">
      <c r="A5" s="341">
        <f>A4+1</f>
        <v>4</v>
      </c>
      <c r="B5" s="343" t="s">
        <v>735</v>
      </c>
      <c r="C5" s="344" t="s">
        <v>738</v>
      </c>
      <c r="D5" s="339" t="s">
        <v>742</v>
      </c>
      <c r="E5" s="340">
        <v>5750</v>
      </c>
    </row>
    <row r="6" spans="1:5" x14ac:dyDescent="0.2">
      <c r="A6" s="414" t="s">
        <v>729</v>
      </c>
      <c r="B6" s="414"/>
      <c r="C6" s="414"/>
      <c r="D6" s="414"/>
      <c r="E6" s="345">
        <f>SUM(E2:E5)</f>
        <v>23000</v>
      </c>
    </row>
    <row r="7" spans="1:5" x14ac:dyDescent="0.2">
      <c r="A7" s="346"/>
      <c r="B7" s="347"/>
      <c r="C7" s="347"/>
      <c r="D7" s="347"/>
      <c r="E7" s="348"/>
    </row>
    <row r="8" spans="1:5" x14ac:dyDescent="0.2">
      <c r="A8" s="414" t="s">
        <v>745</v>
      </c>
      <c r="B8" s="414"/>
      <c r="C8" s="414"/>
      <c r="D8" s="414"/>
      <c r="E8" s="348">
        <f>E6*18%</f>
        <v>4140</v>
      </c>
    </row>
    <row r="9" spans="1:5" x14ac:dyDescent="0.2">
      <c r="A9" s="346"/>
      <c r="B9" s="347"/>
      <c r="C9" s="347"/>
      <c r="D9" s="347"/>
      <c r="E9" s="348"/>
    </row>
    <row r="10" spans="1:5" x14ac:dyDescent="0.2">
      <c r="A10" s="414" t="s">
        <v>743</v>
      </c>
      <c r="B10" s="414"/>
      <c r="C10" s="414"/>
      <c r="D10" s="414"/>
      <c r="E10" s="348">
        <f>SUM(E6:E8)</f>
        <v>27140</v>
      </c>
    </row>
    <row r="12" spans="1:5" x14ac:dyDescent="0.2">
      <c r="B12" s="333" t="s">
        <v>730</v>
      </c>
      <c r="C12" s="333" t="s">
        <v>744</v>
      </c>
    </row>
    <row r="13" spans="1:5" x14ac:dyDescent="0.2">
      <c r="B13" s="333" t="s">
        <v>731</v>
      </c>
      <c r="C13" s="333" t="s">
        <v>723</v>
      </c>
    </row>
  </sheetData>
  <mergeCells count="3">
    <mergeCell ref="A6:D6"/>
    <mergeCell ref="A8:D8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Invoice Raised</vt:lpstr>
      <vt:lpstr>Payment Received</vt:lpstr>
      <vt:lpstr>Exemption Certificate Utilisati</vt:lpstr>
      <vt:lpstr>Cancelled Invoice</vt:lpstr>
      <vt:lpstr>Luminous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2026-09-22T12:59:47Z</dcterms:modified>
</cp:coreProperties>
</file>